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eongnamnoh/Documents/ingWorks/timbel/Ai회의록/"/>
    </mc:Choice>
  </mc:AlternateContent>
  <xr:revisionPtr revIDLastSave="0" documentId="8_{D8F45C75-FC39-E247-952D-616055E28E6E}" xr6:coauthVersionLast="47" xr6:coauthVersionMax="47" xr10:uidLastSave="{00000000-0000-0000-0000-000000000000}"/>
  <bookViews>
    <workbookView xWindow="0" yWindow="760" windowWidth="34560" windowHeight="20360" tabRatio="500" activeTab="3" xr2:uid="{00000000-000D-0000-FFFF-FFFF00000000}"/>
  </bookViews>
  <sheets>
    <sheet name="1.배포 체크리스트" sheetId="1" r:id="rId1"/>
    <sheet name="2.사전 준비(D-1)" sheetId="2" r:id="rId2"/>
    <sheet name="3.롤백 절차" sheetId="3" r:id="rId3"/>
    <sheet name="4.배포 후 검증(QA)" sheetId="4" r:id="rId4"/>
    <sheet name="5.서비스 목록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2" i="4" l="1"/>
  <c r="E21" i="3"/>
  <c r="G21" i="2"/>
  <c r="J46" i="1"/>
  <c r="G46" i="1"/>
  <c r="F8" i="1"/>
  <c r="H8" i="1" s="1"/>
  <c r="F9" i="1" s="1"/>
  <c r="H9" i="1" s="1"/>
  <c r="F10" i="1" s="1"/>
  <c r="H10" i="1" s="1"/>
  <c r="F11" i="1" s="1"/>
  <c r="H11" i="1" s="1"/>
  <c r="F12" i="1" s="1"/>
  <c r="H12" i="1" s="1"/>
  <c r="F13" i="1" s="1"/>
  <c r="H13" i="1" s="1"/>
  <c r="F14" i="1" s="1"/>
  <c r="H14" i="1" s="1"/>
  <c r="F15" i="1" s="1"/>
  <c r="H15" i="1" s="1"/>
  <c r="F16" i="1" s="1"/>
  <c r="H16" i="1" s="1"/>
  <c r="F17" i="1" s="1"/>
  <c r="H17" i="1" s="1"/>
  <c r="F18" i="1" s="1"/>
  <c r="H18" i="1" s="1"/>
  <c r="F19" i="1" s="1"/>
  <c r="H19" i="1" s="1"/>
  <c r="F20" i="1" s="1"/>
  <c r="H20" i="1" s="1"/>
  <c r="F21" i="1" s="1"/>
  <c r="H21" i="1" s="1"/>
  <c r="F22" i="1" s="1"/>
  <c r="H22" i="1" s="1"/>
  <c r="F23" i="1" s="1"/>
  <c r="H23" i="1" s="1"/>
  <c r="F24" i="1" s="1"/>
  <c r="H24" i="1" s="1"/>
  <c r="F25" i="1" s="1"/>
  <c r="H25" i="1" s="1"/>
  <c r="F26" i="1" s="1"/>
  <c r="H26" i="1" s="1"/>
  <c r="F27" i="1" s="1"/>
  <c r="H27" i="1" s="1"/>
  <c r="F28" i="1" s="1"/>
  <c r="H28" i="1" s="1"/>
  <c r="F29" i="1" s="1"/>
  <c r="H29" i="1" s="1"/>
  <c r="F30" i="1" s="1"/>
  <c r="H30" i="1" s="1"/>
  <c r="F31" i="1" s="1"/>
  <c r="H31" i="1" s="1"/>
  <c r="F32" i="1" s="1"/>
  <c r="H32" i="1" s="1"/>
  <c r="F33" i="1" s="1"/>
  <c r="H33" i="1" s="1"/>
  <c r="F34" i="1" s="1"/>
  <c r="H34" i="1" s="1"/>
  <c r="F35" i="1" s="1"/>
  <c r="H35" i="1" s="1"/>
  <c r="F36" i="1" s="1"/>
  <c r="H36" i="1" s="1"/>
  <c r="F37" i="1" s="1"/>
  <c r="H37" i="1" s="1"/>
  <c r="F38" i="1" s="1"/>
  <c r="H38" i="1" s="1"/>
  <c r="F39" i="1" s="1"/>
  <c r="H39" i="1" s="1"/>
  <c r="F40" i="1" s="1"/>
  <c r="H40" i="1" s="1"/>
  <c r="F41" i="1" s="1"/>
  <c r="H41" i="1" s="1"/>
  <c r="F42" i="1" s="1"/>
  <c r="H42" i="1" s="1"/>
  <c r="F43" i="1" s="1"/>
  <c r="H43" i="1" s="1"/>
  <c r="F44" i="1" s="1"/>
  <c r="H44" i="1" s="1"/>
  <c r="F45" i="1" s="1"/>
  <c r="H45" i="1" s="1"/>
  <c r="H46" i="1" s="1"/>
  <c r="F46" i="1" l="1"/>
</calcChain>
</file>

<file path=xl/sharedStrings.xml><?xml version="1.0" encoding="utf-8"?>
<sst xmlns="http://schemas.openxmlformats.org/spreadsheetml/2006/main" count="514" uniqueCount="339">
  <si>
    <r>
      <rPr>
        <b/>
        <sz val="15"/>
        <color rgb="FF21295C"/>
        <rFont val="맑은 고딕"/>
        <family val="2"/>
        <charset val="129"/>
      </rPr>
      <t>SK</t>
    </r>
    <r>
      <rPr>
        <b/>
        <sz val="15"/>
        <color rgb="FF21295C"/>
        <rFont val="Noto Sans CJK SC"/>
        <family val="2"/>
      </rPr>
      <t xml:space="preserve">하이닉스 </t>
    </r>
    <r>
      <rPr>
        <b/>
        <sz val="15"/>
        <color rgb="FF21295C"/>
        <rFont val="맑은 고딕"/>
        <family val="2"/>
        <charset val="129"/>
      </rPr>
      <t xml:space="preserve">AI </t>
    </r>
    <r>
      <rPr>
        <b/>
        <sz val="15"/>
        <color rgb="FF21295C"/>
        <rFont val="Noto Sans CJK SC"/>
        <family val="2"/>
      </rPr>
      <t xml:space="preserve">회의록 </t>
    </r>
    <r>
      <rPr>
        <b/>
        <sz val="15"/>
        <color rgb="FF21295C"/>
        <rFont val="맑은 고딕"/>
        <family val="2"/>
        <charset val="129"/>
      </rPr>
      <t xml:space="preserve">- </t>
    </r>
    <r>
      <rPr>
        <b/>
        <sz val="15"/>
        <color rgb="FF21295C"/>
        <rFont val="Noto Sans CJK SC"/>
        <family val="2"/>
      </rPr>
      <t>운영 서비스 배포 체크리스트</t>
    </r>
  </si>
  <si>
    <r>
      <rPr>
        <sz val="9"/>
        <color rgb="FF6B7785"/>
        <rFont val="Noto Sans CJK SC"/>
        <family val="2"/>
      </rPr>
      <t xml:space="preserve">배포 예정일 </t>
    </r>
    <r>
      <rPr>
        <sz val="9"/>
        <color rgb="FF6B7785"/>
        <rFont val="맑은 고딕"/>
        <family val="2"/>
        <charset val="129"/>
      </rPr>
      <t>2026-09-10 (</t>
    </r>
    <r>
      <rPr>
        <sz val="9"/>
        <color rgb="FF6B7785"/>
        <rFont val="Noto Sans CJK SC"/>
        <family val="2"/>
      </rPr>
      <t>목</t>
    </r>
    <r>
      <rPr>
        <sz val="9"/>
        <color rgb="FF6B7785"/>
        <rFont val="맑은 고딕"/>
        <family val="2"/>
        <charset val="129"/>
      </rPr>
      <t xml:space="preserve">)    |    </t>
    </r>
    <r>
      <rPr>
        <sz val="9"/>
        <color rgb="FF6B7785"/>
        <rFont val="Noto Sans CJK SC"/>
        <family val="2"/>
      </rPr>
      <t xml:space="preserve">작성 </t>
    </r>
    <r>
      <rPr>
        <sz val="9"/>
        <color rgb="FF6B7785"/>
        <rFont val="맑은 고딕"/>
        <family val="2"/>
        <charset val="129"/>
      </rPr>
      <t xml:space="preserve">: </t>
    </r>
    <r>
      <rPr>
        <sz val="9"/>
        <color rgb="FF6B7785"/>
        <rFont val="Noto Sans CJK SC"/>
        <family val="2"/>
      </rPr>
      <t xml:space="preserve">팀벨 노성남 수석    </t>
    </r>
    <r>
      <rPr>
        <sz val="9"/>
        <color rgb="FF6B7785"/>
        <rFont val="맑은 고딕"/>
        <family val="2"/>
        <charset val="129"/>
      </rPr>
      <t xml:space="preserve">|    </t>
    </r>
    <r>
      <rPr>
        <sz val="9"/>
        <color rgb="FF6B7785"/>
        <rFont val="Noto Sans CJK SC"/>
        <family val="2"/>
      </rPr>
      <t>노란색 셀만 입력하시면 예정 시각이 자동으로 계산됩니다</t>
    </r>
    <r>
      <rPr>
        <sz val="9"/>
        <color rgb="FF6B7785"/>
        <rFont val="맑은 고딕"/>
        <family val="2"/>
        <charset val="129"/>
      </rPr>
      <t>.</t>
    </r>
  </si>
  <si>
    <r>
      <rPr>
        <b/>
        <sz val="10"/>
        <color rgb="FF065A82"/>
        <rFont val="Noto Sans CJK SC"/>
        <family val="2"/>
      </rPr>
      <t xml:space="preserve">고객사 </t>
    </r>
    <r>
      <rPr>
        <b/>
        <sz val="10"/>
        <color rgb="FF065A82"/>
        <rFont val="맑은 고딕"/>
        <family val="2"/>
        <charset val="129"/>
      </rPr>
      <t xml:space="preserve">/ </t>
    </r>
    <r>
      <rPr>
        <b/>
        <sz val="10"/>
        <color rgb="FF065A82"/>
        <rFont val="Noto Sans CJK SC"/>
        <family val="2"/>
      </rPr>
      <t>서비스명</t>
    </r>
  </si>
  <si>
    <r>
      <rPr>
        <sz val="10"/>
        <color rgb="FF44506B"/>
        <rFont val="맑은 고딕"/>
        <family val="2"/>
        <charset val="129"/>
      </rPr>
      <t>SK</t>
    </r>
    <r>
      <rPr>
        <sz val="10"/>
        <color rgb="FF44506B"/>
        <rFont val="Noto Sans CJK SC"/>
        <family val="2"/>
      </rPr>
      <t xml:space="preserve">하이닉스   </t>
    </r>
    <r>
      <rPr>
        <sz val="10"/>
        <color rgb="FF44506B"/>
        <rFont val="맑은 고딕"/>
        <family val="2"/>
        <charset val="129"/>
      </rPr>
      <t xml:space="preserve">|   AI </t>
    </r>
    <r>
      <rPr>
        <sz val="10"/>
        <color rgb="FF44506B"/>
        <rFont val="Noto Sans CJK SC"/>
        <family val="2"/>
      </rPr>
      <t>회의록</t>
    </r>
  </si>
  <si>
    <r>
      <rPr>
        <sz val="10"/>
        <color rgb="FF44506B"/>
        <rFont val="Noto Sans CJK SC"/>
        <family val="2"/>
      </rPr>
      <t xml:space="preserve">배포 예정일 </t>
    </r>
    <r>
      <rPr>
        <sz val="10"/>
        <color rgb="FF44506B"/>
        <rFont val="맑은 고딕"/>
        <family val="2"/>
        <charset val="129"/>
      </rPr>
      <t>: 2026-09-10 (</t>
    </r>
    <r>
      <rPr>
        <sz val="10"/>
        <color rgb="FF44506B"/>
        <rFont val="Noto Sans CJK SC"/>
        <family val="2"/>
      </rPr>
      <t>목</t>
    </r>
    <r>
      <rPr>
        <sz val="10"/>
        <color rgb="FF44506B"/>
        <rFont val="맑은 고딕"/>
        <family val="2"/>
        <charset val="129"/>
      </rPr>
      <t>)</t>
    </r>
  </si>
  <si>
    <t>작업 시작 시각</t>
  </si>
  <si>
    <r>
      <rPr>
        <sz val="10"/>
        <color rgb="FF44506B"/>
        <rFont val="Noto Sans CJK SC"/>
        <family val="2"/>
      </rPr>
      <t>※ 이 시각을 변경하면 전체 단계의 예정 시각이 자동으로 재계산됩니다</t>
    </r>
    <r>
      <rPr>
        <sz val="10"/>
        <color rgb="FF44506B"/>
        <rFont val="맑은 고딕"/>
        <family val="2"/>
        <charset val="129"/>
      </rPr>
      <t>.</t>
    </r>
  </si>
  <si>
    <t>No</t>
  </si>
  <si>
    <r>
      <rPr>
        <b/>
        <sz val="10"/>
        <color rgb="FFFFFFFF"/>
        <rFont val="Noto Sans CJK SC"/>
        <family val="2"/>
      </rPr>
      <t xml:space="preserve">단계 </t>
    </r>
    <r>
      <rPr>
        <b/>
        <sz val="10"/>
        <color rgb="FFFFFFFF"/>
        <rFont val="맑은 고딕"/>
        <family val="2"/>
        <charset val="129"/>
      </rPr>
      <t>(</t>
    </r>
    <r>
      <rPr>
        <b/>
        <sz val="10"/>
        <color rgb="FFFFFFFF"/>
        <rFont val="Noto Sans CJK SC"/>
        <family val="2"/>
      </rPr>
      <t>대분류</t>
    </r>
    <r>
      <rPr>
        <b/>
        <sz val="10"/>
        <color rgb="FFFFFFFF"/>
        <rFont val="맑은 고딕"/>
        <family val="2"/>
        <charset val="129"/>
      </rPr>
      <t>)</t>
    </r>
  </si>
  <si>
    <r>
      <rPr>
        <b/>
        <sz val="10"/>
        <color rgb="FFFFFFFF"/>
        <rFont val="Noto Sans CJK SC"/>
        <family val="2"/>
      </rPr>
      <t xml:space="preserve">세부 작업 </t>
    </r>
    <r>
      <rPr>
        <b/>
        <sz val="10"/>
        <color rgb="FFFFFFFF"/>
        <rFont val="맑은 고딕"/>
        <family val="2"/>
        <charset val="129"/>
      </rPr>
      <t>(</t>
    </r>
    <r>
      <rPr>
        <b/>
        <sz val="10"/>
        <color rgb="FFFFFFFF"/>
        <rFont val="Noto Sans CJK SC"/>
        <family val="2"/>
      </rPr>
      <t>소분류</t>
    </r>
    <r>
      <rPr>
        <b/>
        <sz val="10"/>
        <color rgb="FFFFFFFF"/>
        <rFont val="맑은 고딕"/>
        <family val="2"/>
        <charset val="129"/>
      </rPr>
      <t>)</t>
    </r>
  </si>
  <si>
    <r>
      <rPr>
        <b/>
        <sz val="10"/>
        <color rgb="FFFFFFFF"/>
        <rFont val="Noto Sans CJK SC"/>
        <family val="2"/>
      </rPr>
      <t xml:space="preserve">상세 내용 </t>
    </r>
    <r>
      <rPr>
        <b/>
        <sz val="10"/>
        <color rgb="FFFFFFFF"/>
        <rFont val="맑은 고딕"/>
        <family val="2"/>
        <charset val="129"/>
      </rPr>
      <t xml:space="preserve">/ </t>
    </r>
    <r>
      <rPr>
        <b/>
        <sz val="10"/>
        <color rgb="FFFFFFFF"/>
        <rFont val="Noto Sans CJK SC"/>
        <family val="2"/>
      </rPr>
      <t>확인 사항</t>
    </r>
  </si>
  <si>
    <t>담당</t>
  </si>
  <si>
    <t>예정 시작</t>
  </si>
  <si>
    <r>
      <rPr>
        <b/>
        <sz val="10"/>
        <color rgb="FFFFFFFF"/>
        <rFont val="Noto Sans CJK SC"/>
        <family val="2"/>
      </rPr>
      <t>소요</t>
    </r>
    <r>
      <rPr>
        <b/>
        <sz val="10"/>
        <color rgb="FFFFFFFF"/>
        <rFont val="맑은 고딕"/>
        <family val="2"/>
        <charset val="129"/>
      </rPr>
      <t>(</t>
    </r>
    <r>
      <rPr>
        <b/>
        <sz val="10"/>
        <color rgb="FFFFFFFF"/>
        <rFont val="Noto Sans CJK SC"/>
        <family val="2"/>
      </rPr>
      <t>분</t>
    </r>
    <r>
      <rPr>
        <b/>
        <sz val="10"/>
        <color rgb="FFFFFFFF"/>
        <rFont val="맑은 고딕"/>
        <family val="2"/>
        <charset val="129"/>
      </rPr>
      <t>)</t>
    </r>
  </si>
  <si>
    <t>예정 종료</t>
  </si>
  <si>
    <t>선행 조건</t>
  </si>
  <si>
    <t>완료</t>
  </si>
  <si>
    <t>실제 완료 시각</t>
  </si>
  <si>
    <r>
      <rPr>
        <b/>
        <sz val="10"/>
        <color rgb="FFFFFFFF"/>
        <rFont val="Noto Sans CJK SC"/>
        <family val="2"/>
      </rPr>
      <t xml:space="preserve">비고 </t>
    </r>
    <r>
      <rPr>
        <b/>
        <sz val="10"/>
        <color rgb="FFFFFFFF"/>
        <rFont val="맑은 고딕"/>
        <family val="2"/>
        <charset val="129"/>
      </rPr>
      <t xml:space="preserve">/ </t>
    </r>
    <r>
      <rPr>
        <b/>
        <sz val="10"/>
        <color rgb="FFFFFFFF"/>
        <rFont val="Noto Sans CJK SC"/>
        <family val="2"/>
      </rPr>
      <t>이슈</t>
    </r>
  </si>
  <si>
    <t>0-1</t>
  </si>
  <si>
    <r>
      <rPr>
        <b/>
        <sz val="10"/>
        <color rgb="FFFFFFFF"/>
        <rFont val="맑은 고딕"/>
        <family val="2"/>
        <charset val="129"/>
      </rPr>
      <t xml:space="preserve">0. </t>
    </r>
    <r>
      <rPr>
        <b/>
        <sz val="10"/>
        <color rgb="FFFFFFFF"/>
        <rFont val="Noto Sans CJK SC"/>
        <family val="2"/>
      </rPr>
      <t>배포 전 최종 점검</t>
    </r>
  </si>
  <si>
    <t>배포 인원 스탠바이</t>
  </si>
  <si>
    <r>
      <rPr>
        <sz val="9.5"/>
        <rFont val="Noto Sans CJK SC"/>
        <family val="2"/>
      </rPr>
      <t>앱</t>
    </r>
    <r>
      <rPr>
        <sz val="9.5"/>
        <rFont val="맑은 고딕"/>
        <family val="2"/>
        <charset val="129"/>
      </rPr>
      <t>·</t>
    </r>
    <r>
      <rPr>
        <sz val="9.5"/>
        <rFont val="Noto Sans CJK SC"/>
        <family val="2"/>
      </rPr>
      <t>서버</t>
    </r>
    <r>
      <rPr>
        <sz val="9.5"/>
        <rFont val="맑은 고딕"/>
        <family val="2"/>
        <charset val="129"/>
      </rPr>
      <t>·</t>
    </r>
    <r>
      <rPr>
        <sz val="9.5"/>
        <rFont val="Noto Sans CJK SC"/>
        <family val="2"/>
      </rPr>
      <t>운영 담당 스탠바이</t>
    </r>
    <r>
      <rPr>
        <sz val="9.5"/>
        <rFont val="맑은 고딕"/>
        <family val="2"/>
        <charset val="129"/>
      </rPr>
      <t xml:space="preserve">, </t>
    </r>
    <r>
      <rPr>
        <sz val="9.5"/>
        <rFont val="Noto Sans CJK SC"/>
        <family val="2"/>
      </rPr>
      <t>작업 채널</t>
    </r>
    <r>
      <rPr>
        <sz val="9.5"/>
        <rFont val="맑은 고딕"/>
        <family val="2"/>
        <charset val="129"/>
      </rPr>
      <t>(</t>
    </r>
    <r>
      <rPr>
        <sz val="9.5"/>
        <rFont val="Noto Sans CJK SC"/>
        <family val="2"/>
      </rPr>
      <t>메신저</t>
    </r>
    <r>
      <rPr>
        <sz val="9.5"/>
        <rFont val="맑은 고딕"/>
        <family val="2"/>
        <charset val="129"/>
      </rPr>
      <t xml:space="preserve">) </t>
    </r>
    <r>
      <rPr>
        <sz val="9.5"/>
        <rFont val="Noto Sans CJK SC"/>
        <family val="2"/>
      </rPr>
      <t>개설 및 상태 공유</t>
    </r>
  </si>
  <si>
    <t>운영</t>
  </si>
  <si>
    <t>-</t>
  </si>
  <si>
    <t>0-2</t>
  </si>
  <si>
    <t>백업 공간 확인</t>
  </si>
  <si>
    <r>
      <rPr>
        <sz val="9.5"/>
        <rFont val="Noto Sans CJK SC"/>
        <family val="2"/>
      </rPr>
      <t xml:space="preserve">백업 저장 경로 및 디스크 여유 공간 확인 </t>
    </r>
    <r>
      <rPr>
        <sz val="9.5"/>
        <rFont val="맑은 고딕"/>
        <family val="2"/>
        <charset val="129"/>
      </rPr>
      <t>(</t>
    </r>
    <r>
      <rPr>
        <sz val="9.5"/>
        <rFont val="Noto Sans CJK SC"/>
        <family val="2"/>
      </rPr>
      <t xml:space="preserve">덤프 예상 용량의 </t>
    </r>
    <r>
      <rPr>
        <sz val="9.5"/>
        <rFont val="맑은 고딕"/>
        <family val="2"/>
        <charset val="129"/>
      </rPr>
      <t>2</t>
    </r>
    <r>
      <rPr>
        <sz val="9.5"/>
        <rFont val="Noto Sans CJK SC"/>
        <family val="2"/>
      </rPr>
      <t>배 이상</t>
    </r>
    <r>
      <rPr>
        <sz val="9.5"/>
        <rFont val="맑은 고딕"/>
        <family val="2"/>
        <charset val="129"/>
      </rPr>
      <t>)</t>
    </r>
  </si>
  <si>
    <t>서버</t>
  </si>
  <si>
    <t>0-3</t>
  </si>
  <si>
    <t>마이그레이션 스크립트 확인</t>
  </si>
  <si>
    <r>
      <rPr>
        <sz val="9.5"/>
        <rFont val="Noto Sans CJK SC"/>
        <family val="2"/>
      </rPr>
      <t xml:space="preserve">최종본 여부 확인 </t>
    </r>
    <r>
      <rPr>
        <sz val="9.5"/>
        <rFont val="맑은 고딕"/>
        <family val="2"/>
        <charset val="129"/>
      </rPr>
      <t xml:space="preserve">/ </t>
    </r>
    <r>
      <rPr>
        <sz val="9.5"/>
        <rFont val="Noto Sans CJK SC"/>
        <family val="2"/>
      </rPr>
      <t xml:space="preserve">스크립트 내 </t>
    </r>
    <r>
      <rPr>
        <sz val="9.5"/>
        <rFont val="맑은 고딕"/>
        <family val="2"/>
        <charset val="129"/>
      </rPr>
      <t xml:space="preserve">SET sql_log_bin=0 </t>
    </r>
    <r>
      <rPr>
        <sz val="9.5"/>
        <rFont val="Noto Sans CJK SC"/>
        <family val="2"/>
      </rPr>
      <t xml:space="preserve">구문이 없는지 확인 </t>
    </r>
    <r>
      <rPr>
        <sz val="9.5"/>
        <rFont val="맑은 고딕"/>
        <family val="2"/>
        <charset val="129"/>
      </rPr>
      <t>(</t>
    </r>
    <r>
      <rPr>
        <sz val="9.5"/>
        <rFont val="Noto Sans CJK SC"/>
        <family val="2"/>
      </rPr>
      <t xml:space="preserve">있으면 </t>
    </r>
    <r>
      <rPr>
        <sz val="9.5"/>
        <rFont val="맑은 고딕"/>
        <family val="2"/>
        <charset val="129"/>
      </rPr>
      <t xml:space="preserve">Slave </t>
    </r>
    <r>
      <rPr>
        <sz val="9.5"/>
        <rFont val="Noto Sans CJK SC"/>
        <family val="2"/>
      </rPr>
      <t>미반영</t>
    </r>
    <r>
      <rPr>
        <sz val="9.5"/>
        <rFont val="맑은 고딕"/>
        <family val="2"/>
        <charset val="129"/>
      </rPr>
      <t>)</t>
    </r>
  </si>
  <si>
    <t>0-4</t>
  </si>
  <si>
    <t>롤백 자산 확인</t>
  </si>
  <si>
    <r>
      <rPr>
        <sz val="9.5"/>
        <rFont val="Noto Sans CJK SC"/>
        <family val="2"/>
      </rPr>
      <t xml:space="preserve">이전 버전 이미지 보관 상태 및 기존 </t>
    </r>
    <r>
      <rPr>
        <sz val="9.5"/>
        <rFont val="맑은 고딕"/>
        <family val="2"/>
        <charset val="129"/>
      </rPr>
      <t xml:space="preserve">.env </t>
    </r>
    <r>
      <rPr>
        <sz val="9.5"/>
        <rFont val="Noto Sans CJK SC"/>
        <family val="2"/>
      </rPr>
      <t>백업본 확인</t>
    </r>
  </si>
  <si>
    <t>0-5</t>
  </si>
  <si>
    <t>배포 시작 공지</t>
  </si>
  <si>
    <t>관련 부서 및 사용자 대상 작업 시작 공지 발송</t>
  </si>
  <si>
    <t>0-6</t>
  </si>
  <si>
    <r>
      <rPr>
        <b/>
        <sz val="9.5"/>
        <rFont val="Noto Sans CJK SC"/>
        <family val="2"/>
      </rPr>
      <t>진행 중 전사</t>
    </r>
    <r>
      <rPr>
        <b/>
        <sz val="9.5"/>
        <rFont val="맑은 고딕"/>
        <family val="2"/>
        <charset val="129"/>
      </rPr>
      <t xml:space="preserve">(STT) </t>
    </r>
    <r>
      <rPr>
        <b/>
        <sz val="9.5"/>
        <rFont val="Noto Sans CJK SC"/>
        <family val="2"/>
      </rPr>
      <t>작업 확인</t>
    </r>
  </si>
  <si>
    <r>
      <rPr>
        <sz val="9.5"/>
        <rFont val="맑은 고딕"/>
        <family val="2"/>
        <charset val="129"/>
      </rPr>
      <t xml:space="preserve">HAIV </t>
    </r>
    <r>
      <rPr>
        <sz val="9.5"/>
        <rFont val="Noto Sans CJK SC"/>
        <family val="2"/>
      </rPr>
      <t xml:space="preserve">엔진에서 처리 중인 전사 작업 유무 확인 </t>
    </r>
    <r>
      <rPr>
        <sz val="9.5"/>
        <rFont val="맑은 고딕"/>
        <family val="2"/>
        <charset val="129"/>
      </rPr>
      <t xml:space="preserve">/ </t>
    </r>
    <r>
      <rPr>
        <sz val="9.5"/>
        <rFont val="Noto Sans CJK SC"/>
        <family val="2"/>
      </rPr>
      <t>진행 중인 건은 완료 후 중단하거나 배포 후 재처리 대상으로 기록</t>
    </r>
  </si>
  <si>
    <t>1-1</t>
  </si>
  <si>
    <r>
      <rPr>
        <b/>
        <sz val="10"/>
        <color rgb="FFFFFFFF"/>
        <rFont val="맑은 고딕"/>
        <family val="2"/>
        <charset val="129"/>
      </rPr>
      <t xml:space="preserve">1. </t>
    </r>
    <r>
      <rPr>
        <b/>
        <sz val="10"/>
        <color rgb="FFFFFFFF"/>
        <rFont val="Noto Sans CJK SC"/>
        <family val="2"/>
      </rPr>
      <t>서비스 중단</t>
    </r>
  </si>
  <si>
    <r>
      <rPr>
        <b/>
        <sz val="9.5"/>
        <rFont val="Noto Sans CJK SC"/>
        <family val="2"/>
      </rPr>
      <t xml:space="preserve">점검 안내 페이지 전환 </t>
    </r>
    <r>
      <rPr>
        <b/>
        <sz val="9.5"/>
        <rFont val="맑은 고딕"/>
        <family val="2"/>
        <charset val="129"/>
      </rPr>
      <t>(</t>
    </r>
    <r>
      <rPr>
        <b/>
        <sz val="9.5"/>
        <rFont val="Noto Sans CJK SC"/>
        <family val="2"/>
      </rPr>
      <t>선택</t>
    </r>
    <r>
      <rPr>
        <b/>
        <sz val="9.5"/>
        <rFont val="맑은 고딕"/>
        <family val="2"/>
        <charset val="129"/>
      </rPr>
      <t>)</t>
    </r>
  </si>
  <si>
    <r>
      <rPr>
        <sz val="9.5"/>
        <rFont val="Noto Sans CJK SC"/>
        <family val="2"/>
      </rPr>
      <t xml:space="preserve">웹 접속 시 오류 대신 점검 안내 페이지가 노출되도록 전환 </t>
    </r>
    <r>
      <rPr>
        <sz val="9.5"/>
        <rFont val="맑은 고딕"/>
        <family val="2"/>
        <charset val="129"/>
      </rPr>
      <t xml:space="preserve">/ </t>
    </r>
    <r>
      <rPr>
        <sz val="9.5"/>
        <rFont val="Noto Sans CJK SC"/>
        <family val="2"/>
      </rPr>
      <t>미적용 시 본 항목 제외</t>
    </r>
  </si>
  <si>
    <t>1-2</t>
  </si>
  <si>
    <t>웹 프론트엔드 중단</t>
  </si>
  <si>
    <r>
      <rPr>
        <sz val="9.5"/>
        <rFont val="Noto Sans CJK SC"/>
        <family val="2"/>
      </rPr>
      <t xml:space="preserve">로그인 사이트 </t>
    </r>
    <r>
      <rPr>
        <sz val="9.5"/>
        <rFont val="맑은 고딕"/>
        <family val="2"/>
        <charset val="129"/>
      </rPr>
      <t xml:space="preserve">· </t>
    </r>
    <r>
      <rPr>
        <sz val="9.5"/>
        <rFont val="Noto Sans CJK SC"/>
        <family val="2"/>
      </rPr>
      <t xml:space="preserve">회의록 사이트 </t>
    </r>
    <r>
      <rPr>
        <sz val="9.5"/>
        <rFont val="맑은 고딕"/>
        <family val="2"/>
        <charset val="129"/>
      </rPr>
      <t xml:space="preserve">· </t>
    </r>
    <r>
      <rPr>
        <sz val="9.5"/>
        <rFont val="Noto Sans CJK SC"/>
        <family val="2"/>
      </rPr>
      <t xml:space="preserve">관리 사이트 컨테이너 중단 </t>
    </r>
    <r>
      <rPr>
        <sz val="9.5"/>
        <rFont val="맑은 고딕"/>
        <family val="2"/>
        <charset val="129"/>
      </rPr>
      <t>(docker compose stop)</t>
    </r>
  </si>
  <si>
    <t>1-3</t>
  </si>
  <si>
    <t>백엔드 중단</t>
  </si>
  <si>
    <r>
      <rPr>
        <sz val="9.5"/>
        <rFont val="맑은 고딕"/>
        <family val="2"/>
        <charset val="129"/>
      </rPr>
      <t xml:space="preserve">Web SCG · Mobile SCG → Main / Admin / External / Auth API → Notify API </t>
    </r>
    <r>
      <rPr>
        <sz val="9.5"/>
        <rFont val="Noto Sans CJK SC"/>
        <family val="2"/>
      </rPr>
      <t>순으로 중단</t>
    </r>
  </si>
  <si>
    <t>1-4</t>
  </si>
  <si>
    <r>
      <rPr>
        <b/>
        <sz val="9.5"/>
        <rFont val="맑은 고딕"/>
        <family val="2"/>
        <charset val="129"/>
      </rPr>
      <t xml:space="preserve">DB </t>
    </r>
    <r>
      <rPr>
        <b/>
        <sz val="9.5"/>
        <rFont val="Noto Sans CJK SC"/>
        <family val="2"/>
      </rPr>
      <t>복제 중단</t>
    </r>
  </si>
  <si>
    <r>
      <rPr>
        <sz val="9.5"/>
        <rFont val="맑은 고딕"/>
        <family val="2"/>
        <charset val="129"/>
      </rPr>
      <t xml:space="preserve">Slave </t>
    </r>
    <r>
      <rPr>
        <sz val="9.5"/>
        <rFont val="Noto Sans CJK SC"/>
        <family val="2"/>
      </rPr>
      <t xml:space="preserve">에서 </t>
    </r>
    <r>
      <rPr>
        <sz val="9.5"/>
        <rFont val="맑은 고딕"/>
        <family val="2"/>
        <charset val="129"/>
      </rPr>
      <t xml:space="preserve">STOP SLAVE </t>
    </r>
    <r>
      <rPr>
        <sz val="9.5"/>
        <rFont val="Noto Sans CJK SC"/>
        <family val="2"/>
      </rPr>
      <t xml:space="preserve">실행 후 </t>
    </r>
    <r>
      <rPr>
        <sz val="9.5"/>
        <rFont val="맑은 고딕"/>
        <family val="2"/>
        <charset val="129"/>
      </rPr>
      <t xml:space="preserve">SHOW SLAVE STATUS </t>
    </r>
    <r>
      <rPr>
        <sz val="9.5"/>
        <rFont val="Noto Sans CJK SC"/>
        <family val="2"/>
      </rPr>
      <t xml:space="preserve">로 정지 확인 </t>
    </r>
    <r>
      <rPr>
        <sz val="9.5"/>
        <rFont val="맑은 고딕"/>
        <family val="2"/>
        <charset val="129"/>
      </rPr>
      <t xml:space="preserve">/ </t>
    </r>
    <r>
      <rPr>
        <sz val="9.5"/>
        <rFont val="Noto Sans CJK SC"/>
        <family val="2"/>
      </rPr>
      <t xml:space="preserve">이후 </t>
    </r>
    <r>
      <rPr>
        <sz val="9.5"/>
        <rFont val="맑은 고딕"/>
        <family val="2"/>
        <charset val="129"/>
      </rPr>
      <t xml:space="preserve">Slave </t>
    </r>
    <r>
      <rPr>
        <sz val="9.5"/>
        <rFont val="Noto Sans CJK SC"/>
        <family val="2"/>
      </rPr>
      <t xml:space="preserve">는 롤백 기준 데이터로 보존 </t>
    </r>
    <r>
      <rPr>
        <sz val="9.5"/>
        <rFont val="맑은 고딕"/>
        <family val="2"/>
        <charset val="129"/>
      </rPr>
      <t>(</t>
    </r>
    <r>
      <rPr>
        <sz val="9.5"/>
        <rFont val="Noto Sans CJK SC"/>
        <family val="2"/>
      </rPr>
      <t>변경 금지</t>
    </r>
    <r>
      <rPr>
        <sz val="9.5"/>
        <rFont val="맑은 고딕"/>
        <family val="2"/>
        <charset val="129"/>
      </rPr>
      <t>)</t>
    </r>
  </si>
  <si>
    <t>2-1</t>
  </si>
  <si>
    <r>
      <rPr>
        <b/>
        <sz val="10"/>
        <color rgb="FFFFFFFF"/>
        <rFont val="맑은 고딕"/>
        <family val="2"/>
        <charset val="129"/>
      </rPr>
      <t xml:space="preserve">2. </t>
    </r>
    <r>
      <rPr>
        <b/>
        <sz val="10"/>
        <color rgb="FFFFFFFF"/>
        <rFont val="Noto Sans CJK SC"/>
        <family val="2"/>
      </rPr>
      <t>데이터베이스 백업</t>
    </r>
  </si>
  <si>
    <r>
      <rPr>
        <b/>
        <sz val="9.5"/>
        <rFont val="맑은 고딕"/>
        <family val="2"/>
        <charset val="129"/>
      </rPr>
      <t xml:space="preserve">MariaDB Master </t>
    </r>
    <r>
      <rPr>
        <b/>
        <sz val="9.5"/>
        <rFont val="Noto Sans CJK SC"/>
        <family val="2"/>
      </rPr>
      <t>덤프 백업</t>
    </r>
  </si>
  <si>
    <r>
      <rPr>
        <sz val="9.5"/>
        <rFont val="Noto Sans CJK SC"/>
        <family val="2"/>
      </rPr>
      <t xml:space="preserve">전체 스키마 </t>
    </r>
    <r>
      <rPr>
        <sz val="9.5"/>
        <rFont val="맑은 고딕"/>
        <family val="2"/>
        <charset val="129"/>
      </rPr>
      <t xml:space="preserve">+ </t>
    </r>
    <r>
      <rPr>
        <sz val="9.5"/>
        <rFont val="Noto Sans CJK SC"/>
        <family val="2"/>
      </rPr>
      <t xml:space="preserve">데이터 덤프 </t>
    </r>
    <r>
      <rPr>
        <sz val="9.5"/>
        <rFont val="맑은 고딕"/>
        <family val="2"/>
        <charset val="129"/>
      </rPr>
      <t xml:space="preserve">(--single-transaction --routines --triggers --events) / </t>
    </r>
    <r>
      <rPr>
        <sz val="9.5"/>
        <rFont val="Noto Sans CJK SC"/>
        <family val="2"/>
      </rPr>
      <t>롤백 기준점</t>
    </r>
  </si>
  <si>
    <t>2-2</t>
  </si>
  <si>
    <t>덤프 파일 검증</t>
  </si>
  <si>
    <r>
      <rPr>
        <sz val="9.5"/>
        <rFont val="Noto Sans CJK SC"/>
        <family val="2"/>
      </rPr>
      <t>덤프 파일 크기 확인 및 정상 종료 여부</t>
    </r>
    <r>
      <rPr>
        <sz val="9.5"/>
        <rFont val="맑은 고딕"/>
        <family val="2"/>
        <charset val="129"/>
      </rPr>
      <t>(</t>
    </r>
    <r>
      <rPr>
        <sz val="9.5"/>
        <rFont val="Noto Sans CJK SC"/>
        <family val="2"/>
      </rPr>
      <t>마지막 라인</t>
    </r>
    <r>
      <rPr>
        <sz val="9.5"/>
        <rFont val="맑은 고딕"/>
        <family val="2"/>
        <charset val="129"/>
      </rPr>
      <t xml:space="preserve">) </t>
    </r>
    <r>
      <rPr>
        <sz val="9.5"/>
        <rFont val="Noto Sans CJK SC"/>
        <family val="2"/>
      </rPr>
      <t>확인</t>
    </r>
    <r>
      <rPr>
        <sz val="9.5"/>
        <rFont val="맑은 고딕"/>
        <family val="2"/>
        <charset val="129"/>
      </rPr>
      <t xml:space="preserve">, </t>
    </r>
    <r>
      <rPr>
        <sz val="9.5"/>
        <rFont val="Noto Sans CJK SC"/>
        <family val="2"/>
      </rPr>
      <t>별도 경로에 사본 보관</t>
    </r>
  </si>
  <si>
    <t>2-3</t>
  </si>
  <si>
    <r>
      <rPr>
        <b/>
        <sz val="9.5"/>
        <rFont val="맑은 고딕"/>
        <family val="2"/>
        <charset val="129"/>
      </rPr>
      <t xml:space="preserve">MongoDB </t>
    </r>
    <r>
      <rPr>
        <b/>
        <sz val="9.5"/>
        <rFont val="Noto Sans CJK SC"/>
        <family val="2"/>
      </rPr>
      <t>컨테이너 중지</t>
    </r>
  </si>
  <si>
    <r>
      <rPr>
        <sz val="9.5"/>
        <rFont val="Noto Sans CJK SC"/>
        <family val="2"/>
      </rPr>
      <t xml:space="preserve">백업을 위한 </t>
    </r>
    <r>
      <rPr>
        <sz val="9.5"/>
        <rFont val="맑은 고딕"/>
        <family val="2"/>
        <charset val="129"/>
      </rPr>
      <t xml:space="preserve">MongoDB </t>
    </r>
    <r>
      <rPr>
        <sz val="9.5"/>
        <rFont val="Noto Sans CJK SC"/>
        <family val="2"/>
      </rPr>
      <t>컨테이너 중지</t>
    </r>
  </si>
  <si>
    <t>2-4</t>
  </si>
  <si>
    <r>
      <rPr>
        <b/>
        <sz val="9.5"/>
        <rFont val="맑은 고딕"/>
        <family val="2"/>
        <charset val="129"/>
      </rPr>
      <t xml:space="preserve">MongoDB </t>
    </r>
    <r>
      <rPr>
        <b/>
        <sz val="9.5"/>
        <rFont val="Noto Sans CJK SC"/>
        <family val="2"/>
      </rPr>
      <t>데이터 백업</t>
    </r>
  </si>
  <si>
    <r>
      <rPr>
        <sz val="9.5"/>
        <rFont val="Noto Sans CJK SC"/>
        <family val="2"/>
      </rPr>
      <t xml:space="preserve">데이터 디렉터리 </t>
    </r>
    <r>
      <rPr>
        <sz val="9.5"/>
        <rFont val="맑은 고딕"/>
        <family val="2"/>
        <charset val="129"/>
      </rPr>
      <t xml:space="preserve">tar </t>
    </r>
    <r>
      <rPr>
        <sz val="9.5"/>
        <rFont val="Noto Sans CJK SC"/>
        <family val="2"/>
      </rPr>
      <t xml:space="preserve">압축 백업 </t>
    </r>
    <r>
      <rPr>
        <sz val="9.5"/>
        <rFont val="맑은 고딕"/>
        <family val="2"/>
        <charset val="129"/>
      </rPr>
      <t>(</t>
    </r>
    <r>
      <rPr>
        <sz val="9.5"/>
        <rFont val="Noto Sans CJK SC"/>
        <family val="2"/>
      </rPr>
      <t xml:space="preserve">스키마 변경 없음 </t>
    </r>
    <r>
      <rPr>
        <sz val="9.5"/>
        <rFont val="맑은 고딕"/>
        <family val="2"/>
        <charset val="129"/>
      </rPr>
      <t xml:space="preserve">/ </t>
    </r>
    <r>
      <rPr>
        <sz val="9.5"/>
        <rFont val="Noto Sans CJK SC"/>
        <family val="2"/>
      </rPr>
      <t>시간 초과 시 운영 담당 판단 하에 생략 가능</t>
    </r>
    <r>
      <rPr>
        <sz val="9.5"/>
        <rFont val="맑은 고딕"/>
        <family val="2"/>
        <charset val="129"/>
      </rPr>
      <t>)</t>
    </r>
  </si>
  <si>
    <t>3-1</t>
  </si>
  <si>
    <r>
      <rPr>
        <b/>
        <sz val="10"/>
        <color rgb="FFFFFFFF"/>
        <rFont val="맑은 고딕"/>
        <family val="2"/>
        <charset val="129"/>
      </rPr>
      <t xml:space="preserve">3. </t>
    </r>
    <r>
      <rPr>
        <b/>
        <sz val="10"/>
        <color rgb="FFFFFFFF"/>
        <rFont val="Noto Sans CJK SC"/>
        <family val="2"/>
      </rPr>
      <t>데이터베이스 마이그레이션</t>
    </r>
  </si>
  <si>
    <r>
      <rPr>
        <b/>
        <sz val="9.5"/>
        <rFont val="맑은 고딕"/>
        <family val="2"/>
        <charset val="129"/>
      </rPr>
      <t xml:space="preserve">MariaDB </t>
    </r>
    <r>
      <rPr>
        <b/>
        <sz val="9.5"/>
        <rFont val="Noto Sans CJK SC"/>
        <family val="2"/>
      </rPr>
      <t>마이그레이션 실행</t>
    </r>
  </si>
  <si>
    <r>
      <rPr>
        <sz val="9.5"/>
        <rFont val="맑은 고딕"/>
        <family val="2"/>
        <charset val="129"/>
      </rPr>
      <t xml:space="preserve">Master </t>
    </r>
    <r>
      <rPr>
        <sz val="9.5"/>
        <rFont val="Noto Sans CJK SC"/>
        <family val="2"/>
      </rPr>
      <t xml:space="preserve">에만 마이그레이션 스크립트 실행 </t>
    </r>
    <r>
      <rPr>
        <sz val="9.5"/>
        <rFont val="맑은 고딕"/>
        <family val="2"/>
        <charset val="129"/>
      </rPr>
      <t xml:space="preserve">(Slave </t>
    </r>
    <r>
      <rPr>
        <sz val="9.5"/>
        <rFont val="Noto Sans CJK SC"/>
        <family val="2"/>
      </rPr>
      <t xml:space="preserve">직접 실행 금지 </t>
    </r>
    <r>
      <rPr>
        <sz val="9.5"/>
        <rFont val="맑은 고딕"/>
        <family val="2"/>
        <charset val="129"/>
      </rPr>
      <t xml:space="preserve">- </t>
    </r>
    <r>
      <rPr>
        <sz val="9.5"/>
        <rFont val="Noto Sans CJK SC"/>
        <family val="2"/>
      </rPr>
      <t>복제 재개 시 오류 발생</t>
    </r>
    <r>
      <rPr>
        <sz val="9.5"/>
        <rFont val="맑은 고딕"/>
        <family val="2"/>
        <charset val="129"/>
      </rPr>
      <t>)</t>
    </r>
  </si>
  <si>
    <t>3-2</t>
  </si>
  <si>
    <t>스키마 반영 확인</t>
  </si>
  <si>
    <r>
      <rPr>
        <sz val="9.5"/>
        <rFont val="Noto Sans CJK SC"/>
        <family val="2"/>
      </rPr>
      <t>추가</t>
    </r>
    <r>
      <rPr>
        <sz val="9.5"/>
        <rFont val="맑은 고딕"/>
        <family val="2"/>
        <charset val="129"/>
      </rPr>
      <t>·</t>
    </r>
    <r>
      <rPr>
        <sz val="9.5"/>
        <rFont val="Noto Sans CJK SC"/>
        <family val="2"/>
      </rPr>
      <t xml:space="preserve">변경된 테이블 </t>
    </r>
    <r>
      <rPr>
        <sz val="9.5"/>
        <rFont val="맑은 고딕"/>
        <family val="2"/>
        <charset val="129"/>
      </rPr>
      <t xml:space="preserve">/ </t>
    </r>
    <r>
      <rPr>
        <sz val="9.5"/>
        <rFont val="Noto Sans CJK SC"/>
        <family val="2"/>
      </rPr>
      <t xml:space="preserve">컬럼 </t>
    </r>
    <r>
      <rPr>
        <sz val="9.5"/>
        <rFont val="맑은 고딕"/>
        <family val="2"/>
        <charset val="129"/>
      </rPr>
      <t xml:space="preserve">/ </t>
    </r>
    <r>
      <rPr>
        <sz val="9.5"/>
        <rFont val="Noto Sans CJK SC"/>
        <family val="2"/>
      </rPr>
      <t>인덱스 반영 여부 확인</t>
    </r>
    <r>
      <rPr>
        <sz val="9.5"/>
        <rFont val="맑은 고딕"/>
        <family val="2"/>
        <charset val="129"/>
      </rPr>
      <t xml:space="preserve">, </t>
    </r>
    <r>
      <rPr>
        <sz val="9.5"/>
        <rFont val="Noto Sans CJK SC"/>
        <family val="2"/>
      </rPr>
      <t>오류 로그 확인</t>
    </r>
  </si>
  <si>
    <t>3-3</t>
  </si>
  <si>
    <r>
      <rPr>
        <b/>
        <sz val="9.5"/>
        <rFont val="맑은 고딕"/>
        <family val="2"/>
        <charset val="129"/>
      </rPr>
      <t xml:space="preserve">MongoDB </t>
    </r>
    <r>
      <rPr>
        <b/>
        <sz val="9.5"/>
        <rFont val="Noto Sans CJK SC"/>
        <family val="2"/>
      </rPr>
      <t>재기동</t>
    </r>
  </si>
  <si>
    <r>
      <rPr>
        <sz val="9.5"/>
        <rFont val="맑은 고딕"/>
        <family val="2"/>
        <charset val="129"/>
      </rPr>
      <t xml:space="preserve">MongoDB </t>
    </r>
    <r>
      <rPr>
        <sz val="9.5"/>
        <rFont val="Noto Sans CJK SC"/>
        <family val="2"/>
      </rPr>
      <t>컨테이너 재기동 및 접속 확인</t>
    </r>
  </si>
  <si>
    <t>4-1</t>
  </si>
  <si>
    <r>
      <rPr>
        <b/>
        <sz val="10"/>
        <color rgb="FFFFFFFF"/>
        <rFont val="맑은 고딕"/>
        <family val="2"/>
        <charset val="129"/>
      </rPr>
      <t xml:space="preserve">4. </t>
    </r>
    <r>
      <rPr>
        <b/>
        <sz val="10"/>
        <color rgb="FFFFFFFF"/>
        <rFont val="Noto Sans CJK SC"/>
        <family val="2"/>
      </rPr>
      <t>신규 서비스 배포</t>
    </r>
  </si>
  <si>
    <r>
      <rPr>
        <b/>
        <sz val="9.5"/>
        <rFont val="Noto Sans CJK SC"/>
        <family val="2"/>
      </rPr>
      <t>환경설정</t>
    </r>
    <r>
      <rPr>
        <b/>
        <sz val="9.5"/>
        <rFont val="맑은 고딕"/>
        <family val="2"/>
        <charset val="129"/>
      </rPr>
      <t xml:space="preserve">(.env) </t>
    </r>
    <r>
      <rPr>
        <b/>
        <sz val="9.5"/>
        <rFont val="Noto Sans CJK SC"/>
        <family val="2"/>
      </rPr>
      <t>반영</t>
    </r>
  </si>
  <si>
    <r>
      <rPr>
        <sz val="9.5"/>
        <rFont val="Noto Sans CJK SC"/>
        <family val="2"/>
      </rPr>
      <t xml:space="preserve">기존 </t>
    </r>
    <r>
      <rPr>
        <sz val="9.5"/>
        <rFont val="맑은 고딕"/>
        <family val="2"/>
        <charset val="129"/>
      </rPr>
      <t xml:space="preserve">.env </t>
    </r>
    <r>
      <rPr>
        <sz val="9.5"/>
        <rFont val="Noto Sans CJK SC"/>
        <family val="2"/>
      </rPr>
      <t>백업 후 운영 기준 설정값</t>
    </r>
    <r>
      <rPr>
        <sz val="9.5"/>
        <rFont val="맑은 고딕"/>
        <family val="2"/>
        <charset val="129"/>
      </rPr>
      <t xml:space="preserve">(DB </t>
    </r>
    <r>
      <rPr>
        <sz val="9.5"/>
        <rFont val="Noto Sans CJK SC"/>
        <family val="2"/>
      </rPr>
      <t>접속 정보</t>
    </r>
    <r>
      <rPr>
        <sz val="9.5"/>
        <rFont val="맑은 고딕"/>
        <family val="2"/>
        <charset val="129"/>
      </rPr>
      <t xml:space="preserve">, </t>
    </r>
    <r>
      <rPr>
        <sz val="9.5"/>
        <rFont val="Noto Sans CJK SC"/>
        <family val="2"/>
      </rPr>
      <t>도메인</t>
    </r>
    <r>
      <rPr>
        <sz val="9.5"/>
        <rFont val="맑은 고딕"/>
        <family val="2"/>
        <charset val="129"/>
      </rPr>
      <t xml:space="preserve">, </t>
    </r>
    <r>
      <rPr>
        <sz val="9.5"/>
        <rFont val="Noto Sans CJK SC"/>
        <family val="2"/>
      </rPr>
      <t>키 등</t>
    </r>
    <r>
      <rPr>
        <sz val="9.5"/>
        <rFont val="맑은 고딕"/>
        <family val="2"/>
        <charset val="129"/>
      </rPr>
      <t xml:space="preserve">) </t>
    </r>
    <r>
      <rPr>
        <sz val="9.5"/>
        <rFont val="Noto Sans CJK SC"/>
        <family val="2"/>
      </rPr>
      <t>반영</t>
    </r>
  </si>
  <si>
    <t>4-2</t>
  </si>
  <si>
    <t>배포 이미지 확인</t>
  </si>
  <si>
    <t>신규 버전 이미지 로드 상태 및 태그 확인</t>
  </si>
  <si>
    <t>4-3</t>
  </si>
  <si>
    <r>
      <rPr>
        <b/>
        <sz val="9.5"/>
        <rFont val="맑은 고딕"/>
        <family val="2"/>
        <charset val="129"/>
      </rPr>
      <t xml:space="preserve">Consul · </t>
    </r>
    <r>
      <rPr>
        <b/>
        <sz val="9.5"/>
        <rFont val="Noto Sans CJK SC"/>
        <family val="2"/>
      </rPr>
      <t xml:space="preserve">백엔드 </t>
    </r>
    <r>
      <rPr>
        <b/>
        <sz val="9.5"/>
        <rFont val="맑은 고딕"/>
        <family val="2"/>
        <charset val="129"/>
      </rPr>
      <t xml:space="preserve">API </t>
    </r>
    <r>
      <rPr>
        <b/>
        <sz val="9.5"/>
        <rFont val="Noto Sans CJK SC"/>
        <family val="2"/>
      </rPr>
      <t>기동</t>
    </r>
  </si>
  <si>
    <r>
      <rPr>
        <sz val="9.5"/>
        <rFont val="맑은 고딕"/>
        <family val="2"/>
        <charset val="129"/>
      </rPr>
      <t xml:space="preserve">Consul </t>
    </r>
    <r>
      <rPr>
        <sz val="9.5"/>
        <rFont val="Noto Sans CJK SC"/>
        <family val="2"/>
      </rPr>
      <t xml:space="preserve">기동 → </t>
    </r>
    <r>
      <rPr>
        <sz val="9.5"/>
        <rFont val="맑은 고딕"/>
        <family val="2"/>
        <charset val="129"/>
      </rPr>
      <t xml:space="preserve">Auth API → Main API → Admin API → External API → Notify API </t>
    </r>
    <r>
      <rPr>
        <sz val="9.5"/>
        <rFont val="Noto Sans CJK SC"/>
        <family val="2"/>
      </rPr>
      <t>순으로 기동</t>
    </r>
  </si>
  <si>
    <t>4-4</t>
  </si>
  <si>
    <t>게이트웨이 기동</t>
  </si>
  <si>
    <r>
      <rPr>
        <sz val="9.5"/>
        <rFont val="맑은 고딕"/>
        <family val="2"/>
        <charset val="129"/>
      </rPr>
      <t xml:space="preserve">Web SCG · Mobile SCG </t>
    </r>
    <r>
      <rPr>
        <sz val="9.5"/>
        <rFont val="Noto Sans CJK SC"/>
        <family val="2"/>
      </rPr>
      <t>기동 및 라우팅 확인</t>
    </r>
  </si>
  <si>
    <t>4-5</t>
  </si>
  <si>
    <t>웹 프론트엔드 기동</t>
  </si>
  <si>
    <r>
      <rPr>
        <sz val="9.5"/>
        <rFont val="Noto Sans CJK SC"/>
        <family val="2"/>
      </rPr>
      <t xml:space="preserve">로그인 서버 </t>
    </r>
    <r>
      <rPr>
        <sz val="9.5"/>
        <rFont val="맑은 고딕"/>
        <family val="2"/>
        <charset val="129"/>
      </rPr>
      <t xml:space="preserve">· </t>
    </r>
    <r>
      <rPr>
        <sz val="9.5"/>
        <rFont val="Noto Sans CJK SC"/>
        <family val="2"/>
      </rPr>
      <t>유저 사이트</t>
    </r>
    <r>
      <rPr>
        <sz val="9.5"/>
        <rFont val="맑은 고딕"/>
        <family val="2"/>
        <charset val="129"/>
      </rPr>
      <t>(</t>
    </r>
    <r>
      <rPr>
        <sz val="9.5"/>
        <rFont val="Noto Sans CJK SC"/>
        <family val="2"/>
      </rPr>
      <t>회의록</t>
    </r>
    <r>
      <rPr>
        <sz val="9.5"/>
        <rFont val="맑은 고딕"/>
        <family val="2"/>
        <charset val="129"/>
      </rPr>
      <t xml:space="preserve">) · </t>
    </r>
    <r>
      <rPr>
        <sz val="9.5"/>
        <rFont val="Noto Sans CJK SC"/>
        <family val="2"/>
      </rPr>
      <t>관리 사이트</t>
    </r>
    <r>
      <rPr>
        <sz val="9.5"/>
        <rFont val="맑은 고딕"/>
        <family val="2"/>
        <charset val="129"/>
      </rPr>
      <t xml:space="preserve">(BackOffice) </t>
    </r>
    <r>
      <rPr>
        <sz val="9.5"/>
        <rFont val="Noto Sans CJK SC"/>
        <family val="2"/>
      </rPr>
      <t>기동</t>
    </r>
  </si>
  <si>
    <t>4-6</t>
  </si>
  <si>
    <t>컨테이너 상태 확인</t>
  </si>
  <si>
    <r>
      <rPr>
        <sz val="9.5"/>
        <rFont val="Noto Sans CJK SC"/>
        <family val="2"/>
      </rPr>
      <t>전체 컨테이너 기동 상태</t>
    </r>
    <r>
      <rPr>
        <sz val="9.5"/>
        <rFont val="맑은 고딕"/>
        <family val="2"/>
        <charset val="129"/>
      </rPr>
      <t xml:space="preserve">(docker ps) </t>
    </r>
    <r>
      <rPr>
        <sz val="9.5"/>
        <rFont val="Noto Sans CJK SC"/>
        <family val="2"/>
      </rPr>
      <t xml:space="preserve">및 기동 로그 오류 확인 </t>
    </r>
    <r>
      <rPr>
        <sz val="9.5"/>
        <rFont val="맑은 고딕"/>
        <family val="2"/>
        <charset val="129"/>
      </rPr>
      <t>(Dozzle)</t>
    </r>
  </si>
  <si>
    <t>4-7</t>
  </si>
  <si>
    <r>
      <rPr>
        <b/>
        <sz val="9.5"/>
        <rFont val="맑은 고딕"/>
        <family val="2"/>
        <charset val="129"/>
      </rPr>
      <t xml:space="preserve">Consul </t>
    </r>
    <r>
      <rPr>
        <b/>
        <sz val="9.5"/>
        <rFont val="Noto Sans CJK SC"/>
        <family val="2"/>
      </rPr>
      <t>기동 및 서비스 등록 확인</t>
    </r>
  </si>
  <si>
    <r>
      <rPr>
        <sz val="9.5"/>
        <rFont val="맑은 고딕"/>
        <family val="2"/>
        <charset val="129"/>
      </rPr>
      <t xml:space="preserve">Consul </t>
    </r>
    <r>
      <rPr>
        <sz val="9.5"/>
        <rFont val="Noto Sans CJK SC"/>
        <family val="2"/>
      </rPr>
      <t>정상 기동 확인 후</t>
    </r>
    <r>
      <rPr>
        <sz val="9.5"/>
        <rFont val="맑은 고딕"/>
        <family val="2"/>
        <charset val="129"/>
      </rPr>
      <t xml:space="preserve">, </t>
    </r>
    <r>
      <rPr>
        <sz val="9.5"/>
        <rFont val="Noto Sans CJK SC"/>
        <family val="2"/>
      </rPr>
      <t xml:space="preserve">재기동된 서비스가 </t>
    </r>
    <r>
      <rPr>
        <sz val="9.5"/>
        <rFont val="맑은 고딕"/>
        <family val="2"/>
        <charset val="129"/>
      </rPr>
      <t xml:space="preserve">Consul </t>
    </r>
    <r>
      <rPr>
        <sz val="9.5"/>
        <rFont val="Noto Sans CJK SC"/>
        <family val="2"/>
      </rPr>
      <t xml:space="preserve">에 정상 등록되었는지 확인 </t>
    </r>
    <r>
      <rPr>
        <sz val="9.5"/>
        <rFont val="맑은 고딕"/>
        <family val="2"/>
        <charset val="129"/>
      </rPr>
      <t>(</t>
    </r>
    <r>
      <rPr>
        <sz val="9.5"/>
        <rFont val="Noto Sans CJK SC"/>
        <family val="2"/>
      </rPr>
      <t>미등록 시 게이트웨이 라우팅 실패</t>
    </r>
    <r>
      <rPr>
        <sz val="9.5"/>
        <rFont val="맑은 고딕"/>
        <family val="2"/>
        <charset val="129"/>
      </rPr>
      <t>)</t>
    </r>
  </si>
  <si>
    <t>5-1</t>
  </si>
  <si>
    <r>
      <rPr>
        <b/>
        <sz val="10"/>
        <color rgb="FFFFFFFF"/>
        <rFont val="맑은 고딕"/>
        <family val="2"/>
        <charset val="129"/>
      </rPr>
      <t xml:space="preserve">5. </t>
    </r>
    <r>
      <rPr>
        <b/>
        <sz val="10"/>
        <color rgb="FFFFFFFF"/>
        <rFont val="Noto Sans CJK SC"/>
        <family val="2"/>
      </rPr>
      <t>데이터베이스 가동</t>
    </r>
  </si>
  <si>
    <t>복제 재개</t>
  </si>
  <si>
    <r>
      <rPr>
        <sz val="9.5"/>
        <rFont val="맑은 고딕"/>
        <family val="2"/>
        <charset val="129"/>
      </rPr>
      <t xml:space="preserve">Slave </t>
    </r>
    <r>
      <rPr>
        <sz val="9.5"/>
        <rFont val="Noto Sans CJK SC"/>
        <family val="2"/>
      </rPr>
      <t xml:space="preserve">에서 </t>
    </r>
    <r>
      <rPr>
        <sz val="9.5"/>
        <rFont val="맑은 고딕"/>
        <family val="2"/>
        <charset val="129"/>
      </rPr>
      <t xml:space="preserve">START SLAVE </t>
    </r>
    <r>
      <rPr>
        <sz val="9.5"/>
        <rFont val="Noto Sans CJK SC"/>
        <family val="2"/>
      </rPr>
      <t>실행</t>
    </r>
  </si>
  <si>
    <t>5-2</t>
  </si>
  <si>
    <t>복제 상태 확인</t>
  </si>
  <si>
    <r>
      <rPr>
        <sz val="9.5"/>
        <rFont val="맑은 고딕"/>
        <family val="2"/>
        <charset val="129"/>
      </rPr>
      <t xml:space="preserve">Slave_IO_Running = Yes / Slave_SQL_Running = Yes </t>
    </r>
    <r>
      <rPr>
        <sz val="9.5"/>
        <rFont val="Noto Sans CJK SC"/>
        <family val="2"/>
      </rPr>
      <t>확인</t>
    </r>
  </si>
  <si>
    <t>5-3</t>
  </si>
  <si>
    <t>복제 지연 확인</t>
  </si>
  <si>
    <r>
      <rPr>
        <sz val="9.5"/>
        <rFont val="맑은 고딕"/>
        <family val="2"/>
        <charset val="129"/>
      </rPr>
      <t xml:space="preserve">Seconds_Behind_Master = 0 </t>
    </r>
    <r>
      <rPr>
        <sz val="9.5"/>
        <rFont val="Noto Sans CJK SC"/>
        <family val="2"/>
      </rPr>
      <t xml:space="preserve">도달 확인 </t>
    </r>
    <r>
      <rPr>
        <sz val="9.5"/>
        <rFont val="맑은 고딕"/>
        <family val="2"/>
        <charset val="129"/>
      </rPr>
      <t>(</t>
    </r>
    <r>
      <rPr>
        <sz val="9.5"/>
        <rFont val="Noto Sans CJK SC"/>
        <family val="2"/>
      </rPr>
      <t xml:space="preserve">마이그레이션 내용이 </t>
    </r>
    <r>
      <rPr>
        <sz val="9.5"/>
        <rFont val="맑은 고딕"/>
        <family val="2"/>
        <charset val="129"/>
      </rPr>
      <t xml:space="preserve">Slave </t>
    </r>
    <r>
      <rPr>
        <sz val="9.5"/>
        <rFont val="Noto Sans CJK SC"/>
        <family val="2"/>
      </rPr>
      <t>에 반영됨</t>
    </r>
    <r>
      <rPr>
        <sz val="9.5"/>
        <rFont val="맑은 고딕"/>
        <family val="2"/>
        <charset val="129"/>
      </rPr>
      <t>)</t>
    </r>
  </si>
  <si>
    <t>5-4</t>
  </si>
  <si>
    <t>정합성 확인</t>
  </si>
  <si>
    <r>
      <rPr>
        <sz val="9.5"/>
        <rFont val="맑은 고딕"/>
        <family val="2"/>
        <charset val="129"/>
      </rPr>
      <t xml:space="preserve">Master · Slave </t>
    </r>
    <r>
      <rPr>
        <sz val="9.5"/>
        <rFont val="Noto Sans CJK SC"/>
        <family val="2"/>
      </rPr>
      <t>스키마 및 주요 테이블 건수 비교 확인</t>
    </r>
  </si>
  <si>
    <t>5-5</t>
  </si>
  <si>
    <r>
      <rPr>
        <b/>
        <sz val="9.5"/>
        <rFont val="맑은 고딕"/>
        <family val="2"/>
        <charset val="129"/>
      </rPr>
      <t xml:space="preserve">Redis </t>
    </r>
    <r>
      <rPr>
        <b/>
        <sz val="9.5"/>
        <rFont val="Noto Sans CJK SC"/>
        <family val="2"/>
      </rPr>
      <t>캐시 초기화</t>
    </r>
  </si>
  <si>
    <r>
      <rPr>
        <sz val="9.5"/>
        <rFont val="Noto Sans CJK SC"/>
        <family val="2"/>
      </rPr>
      <t xml:space="preserve">스키마 변경으로 이전 구조의 캐시가 남아 있을 수 있으므로 관련 캐시 초기화 </t>
    </r>
    <r>
      <rPr>
        <sz val="9.5"/>
        <rFont val="맑은 고딕"/>
        <family val="2"/>
        <charset val="129"/>
      </rPr>
      <t xml:space="preserve">(Redis </t>
    </r>
    <r>
      <rPr>
        <sz val="9.5"/>
        <rFont val="Noto Sans CJK SC"/>
        <family val="2"/>
      </rPr>
      <t xml:space="preserve">는 </t>
    </r>
    <r>
      <rPr>
        <sz val="9.5"/>
        <rFont val="맑은 고딕"/>
        <family val="2"/>
        <charset val="129"/>
      </rPr>
      <t xml:space="preserve">HCP </t>
    </r>
    <r>
      <rPr>
        <sz val="9.5"/>
        <rFont val="Noto Sans CJK SC"/>
        <family val="2"/>
      </rPr>
      <t>관리 구간으로 사전 협조 필요</t>
    </r>
    <r>
      <rPr>
        <sz val="9.5"/>
        <rFont val="맑은 고딕"/>
        <family val="2"/>
        <charset val="129"/>
      </rPr>
      <t>)</t>
    </r>
  </si>
  <si>
    <t>6-1</t>
  </si>
  <si>
    <r>
      <rPr>
        <b/>
        <sz val="10"/>
        <color rgb="FFFFFFFF"/>
        <rFont val="맑은 고딕"/>
        <family val="2"/>
        <charset val="129"/>
      </rPr>
      <t xml:space="preserve">6. </t>
    </r>
    <r>
      <rPr>
        <b/>
        <sz val="10"/>
        <color rgb="FFFFFFFF"/>
        <rFont val="Noto Sans CJK SC"/>
        <family val="2"/>
      </rPr>
      <t>배포 후 서비스 점검</t>
    </r>
  </si>
  <si>
    <r>
      <rPr>
        <b/>
        <sz val="9.5"/>
        <rFont val="Noto Sans CJK SC"/>
        <family val="2"/>
      </rPr>
      <t xml:space="preserve">웹 서비스 </t>
    </r>
    <r>
      <rPr>
        <b/>
        <sz val="9.5"/>
        <rFont val="맑은 고딕"/>
        <family val="2"/>
        <charset val="129"/>
      </rPr>
      <t>QA</t>
    </r>
  </si>
  <si>
    <r>
      <rPr>
        <sz val="9.5"/>
        <rFont val="맑은 고딕"/>
        <family val="2"/>
        <charset val="129"/>
      </rPr>
      <t xml:space="preserve">SSO </t>
    </r>
    <r>
      <rPr>
        <sz val="9.5"/>
        <rFont val="Noto Sans CJK SC"/>
        <family val="2"/>
      </rPr>
      <t xml:space="preserve">로그인 </t>
    </r>
    <r>
      <rPr>
        <sz val="9.5"/>
        <rFont val="맑은 고딕"/>
        <family val="2"/>
        <charset val="129"/>
      </rPr>
      <t xml:space="preserve">/ </t>
    </r>
    <r>
      <rPr>
        <sz val="9.5"/>
        <rFont val="Noto Sans CJK SC"/>
        <family val="2"/>
      </rPr>
      <t xml:space="preserve">전체 메뉴 클릭 점검 </t>
    </r>
    <r>
      <rPr>
        <sz val="9.5"/>
        <rFont val="맑은 고딕"/>
        <family val="2"/>
        <charset val="129"/>
      </rPr>
      <t xml:space="preserve">/ </t>
    </r>
    <r>
      <rPr>
        <sz val="9.5"/>
        <rFont val="Noto Sans CJK SC"/>
        <family val="2"/>
      </rPr>
      <t xml:space="preserve">회의록 생성 </t>
    </r>
    <r>
      <rPr>
        <sz val="9.5"/>
        <rFont val="맑은 고딕"/>
        <family val="2"/>
        <charset val="129"/>
      </rPr>
      <t xml:space="preserve">/ </t>
    </r>
    <r>
      <rPr>
        <sz val="9.5"/>
        <rFont val="Noto Sans CJK SC"/>
        <family val="2"/>
      </rPr>
      <t xml:space="preserve">관리자 사이트 점검 </t>
    </r>
    <r>
      <rPr>
        <sz val="9.5"/>
        <rFont val="맑은 고딕"/>
        <family val="2"/>
        <charset val="129"/>
      </rPr>
      <t>(</t>
    </r>
    <r>
      <rPr>
        <sz val="9.5"/>
        <rFont val="Noto Sans CJK SC"/>
        <family val="2"/>
      </rPr>
      <t xml:space="preserve">시트 </t>
    </r>
    <r>
      <rPr>
        <sz val="9.5"/>
        <rFont val="맑은 고딕"/>
        <family val="2"/>
        <charset val="129"/>
      </rPr>
      <t xml:space="preserve">4 </t>
    </r>
    <r>
      <rPr>
        <sz val="9.5"/>
        <rFont val="Noto Sans CJK SC"/>
        <family val="2"/>
      </rPr>
      <t>참조</t>
    </r>
    <r>
      <rPr>
        <sz val="9.5"/>
        <rFont val="맑은 고딕"/>
        <family val="2"/>
        <charset val="129"/>
      </rPr>
      <t>)</t>
    </r>
  </si>
  <si>
    <t>6-2</t>
  </si>
  <si>
    <r>
      <rPr>
        <b/>
        <sz val="9.5"/>
        <rFont val="맑은 고딕"/>
        <family val="2"/>
        <charset val="129"/>
      </rPr>
      <t>1</t>
    </r>
    <r>
      <rPr>
        <b/>
        <sz val="9.5"/>
        <rFont val="Noto Sans CJK SC"/>
        <family val="2"/>
      </rPr>
      <t xml:space="preserve">차 </t>
    </r>
    <r>
      <rPr>
        <b/>
        <sz val="9.5"/>
        <rFont val="맑은 고딕"/>
        <family val="2"/>
        <charset val="129"/>
      </rPr>
      <t xml:space="preserve">Go / No-Go </t>
    </r>
    <r>
      <rPr>
        <b/>
        <sz val="9.5"/>
        <rFont val="Noto Sans CJK SC"/>
        <family val="2"/>
      </rPr>
      <t>판단</t>
    </r>
  </si>
  <si>
    <r>
      <rPr>
        <sz val="9.5"/>
        <rFont val="Noto Sans CJK SC"/>
        <family val="2"/>
      </rPr>
      <t xml:space="preserve">웹 </t>
    </r>
    <r>
      <rPr>
        <sz val="9.5"/>
        <rFont val="맑은 고딕"/>
        <family val="2"/>
        <charset val="129"/>
      </rPr>
      <t xml:space="preserve">QA </t>
    </r>
    <r>
      <rPr>
        <sz val="9.5"/>
        <rFont val="Noto Sans CJK SC"/>
        <family val="2"/>
      </rPr>
      <t xml:space="preserve">결과 공유 및 앱 오픈 여부 결정 </t>
    </r>
    <r>
      <rPr>
        <sz val="9.5"/>
        <rFont val="맑은 고딕"/>
        <family val="2"/>
        <charset val="129"/>
      </rPr>
      <t>(</t>
    </r>
    <r>
      <rPr>
        <sz val="9.5"/>
        <rFont val="Noto Sans CJK SC"/>
        <family val="2"/>
      </rPr>
      <t>이상 시 롤백 검토</t>
    </r>
    <r>
      <rPr>
        <sz val="9.5"/>
        <rFont val="맑은 고딕"/>
        <family val="2"/>
        <charset val="129"/>
      </rPr>
      <t>)</t>
    </r>
  </si>
  <si>
    <t>전원</t>
  </si>
  <si>
    <t>6-3</t>
  </si>
  <si>
    <r>
      <rPr>
        <b/>
        <sz val="9.5"/>
        <rFont val="Noto Sans CJK SC"/>
        <family val="2"/>
      </rPr>
      <t xml:space="preserve">앱 </t>
    </r>
    <r>
      <rPr>
        <b/>
        <sz val="9.5"/>
        <rFont val="맑은 고딕"/>
        <family val="2"/>
        <charset val="129"/>
      </rPr>
      <t xml:space="preserve">HMP </t>
    </r>
    <r>
      <rPr>
        <b/>
        <sz val="9.5"/>
        <rFont val="Noto Sans CJK SC"/>
        <family val="2"/>
      </rPr>
      <t>오픈</t>
    </r>
  </si>
  <si>
    <r>
      <rPr>
        <sz val="9.5"/>
        <rFont val="Noto Sans CJK SC"/>
        <family val="2"/>
      </rPr>
      <t xml:space="preserve">지정 시각 오픈 처리 → 사용자 앱 강제 업데이트 개시 </t>
    </r>
    <r>
      <rPr>
        <sz val="9.5"/>
        <rFont val="맑은 고딕"/>
        <family val="2"/>
        <charset val="129"/>
      </rPr>
      <t>(</t>
    </r>
    <r>
      <rPr>
        <sz val="9.5"/>
        <rFont val="Noto Sans CJK SC"/>
        <family val="2"/>
      </rPr>
      <t>이상 시 즉시 클로즈</t>
    </r>
    <r>
      <rPr>
        <sz val="9.5"/>
        <rFont val="맑은 고딕"/>
        <family val="2"/>
        <charset val="129"/>
      </rPr>
      <t>)</t>
    </r>
  </si>
  <si>
    <t>앱</t>
  </si>
  <si>
    <t>6-4</t>
  </si>
  <si>
    <r>
      <rPr>
        <b/>
        <sz val="9.5"/>
        <rFont val="Noto Sans CJK SC"/>
        <family val="2"/>
      </rPr>
      <t xml:space="preserve">앱 </t>
    </r>
    <r>
      <rPr>
        <b/>
        <sz val="9.5"/>
        <rFont val="맑은 고딕"/>
        <family val="2"/>
        <charset val="129"/>
      </rPr>
      <t>QA</t>
    </r>
  </si>
  <si>
    <r>
      <rPr>
        <sz val="9.5"/>
        <rFont val="맑은 고딕"/>
        <family val="2"/>
        <charset val="129"/>
      </rPr>
      <t xml:space="preserve">iOS · Android </t>
    </r>
    <r>
      <rPr>
        <sz val="9.5"/>
        <rFont val="Noto Sans CJK SC"/>
        <family val="2"/>
      </rPr>
      <t xml:space="preserve">각각 로그인 </t>
    </r>
    <r>
      <rPr>
        <sz val="9.5"/>
        <rFont val="맑은 고딕"/>
        <family val="2"/>
        <charset val="129"/>
      </rPr>
      <t xml:space="preserve">/ </t>
    </r>
    <r>
      <rPr>
        <sz val="9.5"/>
        <rFont val="Noto Sans CJK SC"/>
        <family val="2"/>
      </rPr>
      <t xml:space="preserve">녹음 </t>
    </r>
    <r>
      <rPr>
        <sz val="9.5"/>
        <rFont val="맑은 고딕"/>
        <family val="2"/>
        <charset val="129"/>
      </rPr>
      <t xml:space="preserve">/ </t>
    </r>
    <r>
      <rPr>
        <sz val="9.5"/>
        <rFont val="Noto Sans CJK SC"/>
        <family val="2"/>
      </rPr>
      <t xml:space="preserve">업로드 점검 </t>
    </r>
    <r>
      <rPr>
        <sz val="9.5"/>
        <rFont val="맑은 고딕"/>
        <family val="2"/>
        <charset val="129"/>
      </rPr>
      <t>(</t>
    </r>
    <r>
      <rPr>
        <sz val="9.5"/>
        <rFont val="Noto Sans CJK SC"/>
        <family val="2"/>
      </rPr>
      <t xml:space="preserve">시트 </t>
    </r>
    <r>
      <rPr>
        <sz val="9.5"/>
        <rFont val="맑은 고딕"/>
        <family val="2"/>
        <charset val="129"/>
      </rPr>
      <t xml:space="preserve">4 </t>
    </r>
    <r>
      <rPr>
        <sz val="9.5"/>
        <rFont val="Noto Sans CJK SC"/>
        <family val="2"/>
      </rPr>
      <t>참조</t>
    </r>
    <r>
      <rPr>
        <sz val="9.5"/>
        <rFont val="맑은 고딕"/>
        <family val="2"/>
        <charset val="129"/>
      </rPr>
      <t>)</t>
    </r>
  </si>
  <si>
    <t>6-5</t>
  </si>
  <si>
    <t>모니터링 확인</t>
  </si>
  <si>
    <r>
      <rPr>
        <sz val="9.5"/>
        <rFont val="맑은 고딕"/>
        <family val="2"/>
        <charset val="129"/>
      </rPr>
      <t xml:space="preserve">Grafana </t>
    </r>
    <r>
      <rPr>
        <sz val="9.5"/>
        <rFont val="Noto Sans CJK SC"/>
        <family val="2"/>
      </rPr>
      <t xml:space="preserve">서버 지표 및 </t>
    </r>
    <r>
      <rPr>
        <sz val="9.5"/>
        <rFont val="맑은 고딕"/>
        <family val="2"/>
        <charset val="129"/>
      </rPr>
      <t xml:space="preserve">Dozzle </t>
    </r>
    <r>
      <rPr>
        <sz val="9.5"/>
        <rFont val="Noto Sans CJK SC"/>
        <family val="2"/>
      </rPr>
      <t>컨테이너 로그 오류 유무 확인</t>
    </r>
  </si>
  <si>
    <t>6-6</t>
  </si>
  <si>
    <t>메시징 큐 처리 확인</t>
  </si>
  <si>
    <r>
      <rPr>
        <sz val="9.5"/>
        <rFont val="Noto Sans CJK SC"/>
        <family val="2"/>
      </rPr>
      <t xml:space="preserve">중단 시점에 </t>
    </r>
    <r>
      <rPr>
        <sz val="9.5"/>
        <rFont val="맑은 고딕"/>
        <family val="2"/>
        <charset val="129"/>
      </rPr>
      <t xml:space="preserve">Kafka </t>
    </r>
    <r>
      <rPr>
        <sz val="9.5"/>
        <rFont val="Noto Sans CJK SC"/>
        <family val="2"/>
      </rPr>
      <t xml:space="preserve">에 적재된 미처리 메시지가 배포 후 정상 소비되는지 확인 </t>
    </r>
    <r>
      <rPr>
        <sz val="9.5"/>
        <rFont val="맑은 고딕"/>
        <family val="2"/>
        <charset val="129"/>
      </rPr>
      <t>(Notify API)</t>
    </r>
  </si>
  <si>
    <t>7-1</t>
  </si>
  <si>
    <r>
      <rPr>
        <b/>
        <sz val="10"/>
        <color rgb="FFFFFFFF"/>
        <rFont val="맑은 고딕"/>
        <family val="2"/>
        <charset val="129"/>
      </rPr>
      <t xml:space="preserve">7. </t>
    </r>
    <r>
      <rPr>
        <b/>
        <sz val="10"/>
        <color rgb="FFFFFFFF"/>
        <rFont val="Noto Sans CJK SC"/>
        <family val="2"/>
      </rPr>
      <t>서비스 정상화 및 완료 보고</t>
    </r>
  </si>
  <si>
    <t>점검 안내 페이지 해제</t>
  </si>
  <si>
    <t>점검 페이지 해제 후 정상 서비스 전환</t>
  </si>
  <si>
    <t>7-2</t>
  </si>
  <si>
    <t>서비스 정상 접속 확인</t>
  </si>
  <si>
    <r>
      <rPr>
        <sz val="9.5"/>
        <rFont val="Noto Sans CJK SC"/>
        <family val="2"/>
      </rPr>
      <t xml:space="preserve">사용자 환경에서 웹 </t>
    </r>
    <r>
      <rPr>
        <sz val="9.5"/>
        <rFont val="맑은 고딕"/>
        <family val="2"/>
        <charset val="129"/>
      </rPr>
      <t xml:space="preserve">· </t>
    </r>
    <r>
      <rPr>
        <sz val="9.5"/>
        <rFont val="Noto Sans CJK SC"/>
        <family val="2"/>
      </rPr>
      <t>앱 접속 정상 여부 최종 확인</t>
    </r>
  </si>
  <si>
    <t>7-3</t>
  </si>
  <si>
    <t>배포 완료 보고</t>
  </si>
  <si>
    <t>배포 결과 및 특이사항 정리 후 고객사 담당자 보고</t>
  </si>
  <si>
    <t>합 계</t>
  </si>
  <si>
    <t>완료 항목</t>
  </si>
  <si>
    <t>■ 사용 방법</t>
  </si>
  <si>
    <r>
      <rPr>
        <sz val="9.5"/>
        <color rgb="FF44506B"/>
        <rFont val="맑은 고딕"/>
        <family val="2"/>
        <charset val="129"/>
      </rPr>
      <t xml:space="preserve">  · </t>
    </r>
    <r>
      <rPr>
        <sz val="9.5"/>
        <color rgb="FF44506B"/>
        <rFont val="Noto Sans CJK SC"/>
        <family val="2"/>
      </rPr>
      <t>노란색 셀</t>
    </r>
    <r>
      <rPr>
        <sz val="9.5"/>
        <color rgb="FF44506B"/>
        <rFont val="맑은 고딕"/>
        <family val="2"/>
        <charset val="129"/>
      </rPr>
      <t>(</t>
    </r>
    <r>
      <rPr>
        <sz val="9.5"/>
        <color rgb="FF44506B"/>
        <rFont val="Noto Sans CJK SC"/>
        <family val="2"/>
      </rPr>
      <t xml:space="preserve">작업 시작 시각 </t>
    </r>
    <r>
      <rPr>
        <sz val="9.5"/>
        <color rgb="FF44506B"/>
        <rFont val="맑은 고딕"/>
        <family val="2"/>
        <charset val="129"/>
      </rPr>
      <t xml:space="preserve">/ </t>
    </r>
    <r>
      <rPr>
        <sz val="9.5"/>
        <color rgb="FF44506B"/>
        <rFont val="Noto Sans CJK SC"/>
        <family val="2"/>
      </rPr>
      <t xml:space="preserve">완료 </t>
    </r>
    <r>
      <rPr>
        <sz val="9.5"/>
        <color rgb="FF44506B"/>
        <rFont val="맑은 고딕"/>
        <family val="2"/>
        <charset val="129"/>
      </rPr>
      <t xml:space="preserve">/ </t>
    </r>
    <r>
      <rPr>
        <sz val="9.5"/>
        <color rgb="FF44506B"/>
        <rFont val="Noto Sans CJK SC"/>
        <family val="2"/>
      </rPr>
      <t xml:space="preserve">실제 완료 시각 </t>
    </r>
    <r>
      <rPr>
        <sz val="9.5"/>
        <color rgb="FF44506B"/>
        <rFont val="맑은 고딕"/>
        <family val="2"/>
        <charset val="129"/>
      </rPr>
      <t xml:space="preserve">/ </t>
    </r>
    <r>
      <rPr>
        <sz val="9.5"/>
        <color rgb="FF44506B"/>
        <rFont val="Noto Sans CJK SC"/>
        <family val="2"/>
      </rPr>
      <t>비고</t>
    </r>
    <r>
      <rPr>
        <sz val="9.5"/>
        <color rgb="FF44506B"/>
        <rFont val="맑은 고딕"/>
        <family val="2"/>
        <charset val="129"/>
      </rPr>
      <t>)</t>
    </r>
    <r>
      <rPr>
        <sz val="9.5"/>
        <color rgb="FF44506B"/>
        <rFont val="Noto Sans CJK SC"/>
        <family val="2"/>
      </rPr>
      <t>만 입력하시면 됩니다</t>
    </r>
    <r>
      <rPr>
        <sz val="9.5"/>
        <color rgb="FF44506B"/>
        <rFont val="맑은 고딕"/>
        <family val="2"/>
        <charset val="129"/>
      </rPr>
      <t xml:space="preserve">. </t>
    </r>
    <r>
      <rPr>
        <sz val="9.5"/>
        <color rgb="FF44506B"/>
        <rFont val="Noto Sans CJK SC"/>
        <family val="2"/>
      </rPr>
      <t>예정 시작</t>
    </r>
    <r>
      <rPr>
        <sz val="9.5"/>
        <color rgb="FF44506B"/>
        <rFont val="맑은 고딕"/>
        <family val="2"/>
        <charset val="129"/>
      </rPr>
      <t>·</t>
    </r>
    <r>
      <rPr>
        <sz val="9.5"/>
        <color rgb="FF44506B"/>
        <rFont val="Noto Sans CJK SC"/>
        <family val="2"/>
      </rPr>
      <t>종료 시각은 소요</t>
    </r>
    <r>
      <rPr>
        <sz val="9.5"/>
        <color rgb="FF44506B"/>
        <rFont val="맑은 고딕"/>
        <family val="2"/>
        <charset val="129"/>
      </rPr>
      <t>(</t>
    </r>
    <r>
      <rPr>
        <sz val="9.5"/>
        <color rgb="FF44506B"/>
        <rFont val="Noto Sans CJK SC"/>
        <family val="2"/>
      </rPr>
      <t>분</t>
    </r>
    <r>
      <rPr>
        <sz val="9.5"/>
        <color rgb="FF44506B"/>
        <rFont val="맑은 고딕"/>
        <family val="2"/>
        <charset val="129"/>
      </rPr>
      <t>)</t>
    </r>
    <r>
      <rPr>
        <sz val="9.5"/>
        <color rgb="FF44506B"/>
        <rFont val="Noto Sans CJK SC"/>
        <family val="2"/>
      </rPr>
      <t>을 기준으로 자동 계산됩니다</t>
    </r>
    <r>
      <rPr>
        <sz val="9.5"/>
        <color rgb="FF44506B"/>
        <rFont val="맑은 고딕"/>
        <family val="2"/>
        <charset val="129"/>
      </rPr>
      <t>.</t>
    </r>
  </si>
  <si>
    <r>
      <rPr>
        <sz val="9.5"/>
        <color rgb="FF44506B"/>
        <rFont val="맑은 고딕"/>
        <family val="2"/>
        <charset val="129"/>
      </rPr>
      <t xml:space="preserve">  · </t>
    </r>
    <r>
      <rPr>
        <sz val="9.5"/>
        <color rgb="FF44506B"/>
        <rFont val="Noto Sans CJK SC"/>
        <family val="2"/>
      </rPr>
      <t>특정 단계가 지연되면 해당 행의 소요</t>
    </r>
    <r>
      <rPr>
        <sz val="9.5"/>
        <color rgb="FF44506B"/>
        <rFont val="맑은 고딕"/>
        <family val="2"/>
        <charset val="129"/>
      </rPr>
      <t>(</t>
    </r>
    <r>
      <rPr>
        <sz val="9.5"/>
        <color rgb="FF44506B"/>
        <rFont val="Noto Sans CJK SC"/>
        <family val="2"/>
      </rPr>
      <t>분</t>
    </r>
    <r>
      <rPr>
        <sz val="9.5"/>
        <color rgb="FF44506B"/>
        <rFont val="맑은 고딕"/>
        <family val="2"/>
        <charset val="129"/>
      </rPr>
      <t>)</t>
    </r>
    <r>
      <rPr>
        <sz val="9.5"/>
        <color rgb="FF44506B"/>
        <rFont val="Noto Sans CJK SC"/>
        <family val="2"/>
      </rPr>
      <t>만 수정하시면 이후 모든 단계의 예정 시각이 자동으로 순연됩니다</t>
    </r>
    <r>
      <rPr>
        <sz val="9.5"/>
        <color rgb="FF44506B"/>
        <rFont val="맑은 고딕"/>
        <family val="2"/>
        <charset val="129"/>
      </rPr>
      <t>.</t>
    </r>
  </si>
  <si>
    <r>
      <rPr>
        <sz val="9.5"/>
        <color rgb="FF44506B"/>
        <rFont val="맑은 고딕"/>
        <family val="2"/>
        <charset val="129"/>
      </rPr>
      <t xml:space="preserve">  · '</t>
    </r>
    <r>
      <rPr>
        <sz val="9.5"/>
        <color rgb="FF44506B"/>
        <rFont val="Noto Sans CJK SC"/>
        <family val="2"/>
      </rPr>
      <t>완료</t>
    </r>
    <r>
      <rPr>
        <sz val="9.5"/>
        <color rgb="FF44506B"/>
        <rFont val="맑은 고딕"/>
        <family val="2"/>
        <charset val="129"/>
      </rPr>
      <t xml:space="preserve">' </t>
    </r>
    <r>
      <rPr>
        <sz val="9.5"/>
        <color rgb="FF44506B"/>
        <rFont val="Noto Sans CJK SC"/>
        <family val="2"/>
      </rPr>
      <t xml:space="preserve">열은 완료 </t>
    </r>
    <r>
      <rPr>
        <sz val="9.5"/>
        <color rgb="FF44506B"/>
        <rFont val="맑은 고딕"/>
        <family val="2"/>
        <charset val="129"/>
      </rPr>
      <t xml:space="preserve">/ </t>
    </r>
    <r>
      <rPr>
        <sz val="9.5"/>
        <color rgb="FF44506B"/>
        <rFont val="Noto Sans CJK SC"/>
        <family val="2"/>
      </rPr>
      <t xml:space="preserve">진행중 </t>
    </r>
    <r>
      <rPr>
        <sz val="9.5"/>
        <color rgb="FF44506B"/>
        <rFont val="맑은 고딕"/>
        <family val="2"/>
        <charset val="129"/>
      </rPr>
      <t xml:space="preserve">/ </t>
    </r>
    <r>
      <rPr>
        <sz val="9.5"/>
        <color rgb="FF44506B"/>
        <rFont val="Noto Sans CJK SC"/>
        <family val="2"/>
      </rPr>
      <t xml:space="preserve">이슈 </t>
    </r>
    <r>
      <rPr>
        <sz val="9.5"/>
        <color rgb="FF44506B"/>
        <rFont val="맑은 고딕"/>
        <family val="2"/>
        <charset val="129"/>
      </rPr>
      <t xml:space="preserve">/ </t>
    </r>
    <r>
      <rPr>
        <sz val="9.5"/>
        <color rgb="FF44506B"/>
        <rFont val="Noto Sans CJK SC"/>
        <family val="2"/>
      </rPr>
      <t>해당없음 중에서 선택합니다</t>
    </r>
    <r>
      <rPr>
        <sz val="9.5"/>
        <color rgb="FF44506B"/>
        <rFont val="맑은 고딕"/>
        <family val="2"/>
        <charset val="129"/>
      </rPr>
      <t>.</t>
    </r>
  </si>
  <si>
    <r>
      <rPr>
        <sz val="9.5"/>
        <color rgb="FF44506B"/>
        <rFont val="맑은 고딕"/>
        <family val="2"/>
        <charset val="129"/>
      </rPr>
      <t xml:space="preserve">  · </t>
    </r>
    <r>
      <rPr>
        <sz val="9.5"/>
        <color rgb="FF44506B"/>
        <rFont val="Noto Sans CJK SC"/>
        <family val="2"/>
      </rPr>
      <t>소요</t>
    </r>
    <r>
      <rPr>
        <sz val="9.5"/>
        <color rgb="FF44506B"/>
        <rFont val="맑은 고딕"/>
        <family val="2"/>
        <charset val="129"/>
      </rPr>
      <t>(</t>
    </r>
    <r>
      <rPr>
        <sz val="9.5"/>
        <color rgb="FF44506B"/>
        <rFont val="Noto Sans CJK SC"/>
        <family val="2"/>
      </rPr>
      <t>분</t>
    </r>
    <r>
      <rPr>
        <sz val="9.5"/>
        <color rgb="FF44506B"/>
        <rFont val="맑은 고딕"/>
        <family val="2"/>
        <charset val="129"/>
      </rPr>
      <t>)</t>
    </r>
    <r>
      <rPr>
        <sz val="9.5"/>
        <color rgb="FF44506B"/>
        <rFont val="Noto Sans CJK SC"/>
        <family val="2"/>
      </rPr>
      <t xml:space="preserve">이 </t>
    </r>
    <r>
      <rPr>
        <sz val="9.5"/>
        <color rgb="FF44506B"/>
        <rFont val="맑은 고딕"/>
        <family val="2"/>
        <charset val="129"/>
      </rPr>
      <t xml:space="preserve">0 </t>
    </r>
    <r>
      <rPr>
        <sz val="9.5"/>
        <color rgb="FF44506B"/>
        <rFont val="Noto Sans CJK SC"/>
        <family val="2"/>
      </rPr>
      <t>인 항목은 앞 단계와 함께 수행하는 확인 성격의 작업으로</t>
    </r>
    <r>
      <rPr>
        <sz val="9.5"/>
        <color rgb="FF44506B"/>
        <rFont val="맑은 고딕"/>
        <family val="2"/>
        <charset val="129"/>
      </rPr>
      <t xml:space="preserve">, </t>
    </r>
    <r>
      <rPr>
        <sz val="9.5"/>
        <color rgb="FF44506B"/>
        <rFont val="Noto Sans CJK SC"/>
        <family val="2"/>
      </rPr>
      <t>전체 일정에는 영향을 주지 않습니다</t>
    </r>
    <r>
      <rPr>
        <sz val="9.5"/>
        <color rgb="FF44506B"/>
        <rFont val="맑은 고딕"/>
        <family val="2"/>
        <charset val="129"/>
      </rPr>
      <t>.</t>
    </r>
  </si>
  <si>
    <t>■ 주요 유의 사항</t>
  </si>
  <si>
    <r>
      <rPr>
        <sz val="9.5"/>
        <color rgb="FF44506B"/>
        <rFont val="맑은 고딕"/>
        <family val="2"/>
        <charset val="129"/>
      </rPr>
      <t xml:space="preserve">  · DB </t>
    </r>
    <r>
      <rPr>
        <sz val="9.5"/>
        <color rgb="FF44506B"/>
        <rFont val="Noto Sans CJK SC"/>
        <family val="2"/>
      </rPr>
      <t xml:space="preserve">마이그레이션은 </t>
    </r>
    <r>
      <rPr>
        <sz val="9.5"/>
        <color rgb="FF44506B"/>
        <rFont val="맑은 고딕"/>
        <family val="2"/>
        <charset val="129"/>
      </rPr>
      <t xml:space="preserve">Master </t>
    </r>
    <r>
      <rPr>
        <sz val="9.5"/>
        <color rgb="FF44506B"/>
        <rFont val="Noto Sans CJK SC"/>
        <family val="2"/>
      </rPr>
      <t>에만 실행합니다</t>
    </r>
    <r>
      <rPr>
        <sz val="9.5"/>
        <color rgb="FF44506B"/>
        <rFont val="맑은 고딕"/>
        <family val="2"/>
        <charset val="129"/>
      </rPr>
      <t xml:space="preserve">. Slave </t>
    </r>
    <r>
      <rPr>
        <sz val="9.5"/>
        <color rgb="FF44506B"/>
        <rFont val="Noto Sans CJK SC"/>
        <family val="2"/>
      </rPr>
      <t>는 복제 재개 시 자동 반영되며</t>
    </r>
    <r>
      <rPr>
        <sz val="9.5"/>
        <color rgb="FF44506B"/>
        <rFont val="맑은 고딕"/>
        <family val="2"/>
        <charset val="129"/>
      </rPr>
      <t xml:space="preserve">, </t>
    </r>
    <r>
      <rPr>
        <sz val="9.5"/>
        <color rgb="FF44506B"/>
        <rFont val="Noto Sans CJK SC"/>
        <family val="2"/>
      </rPr>
      <t>직접 실행 시 복제가 중단됩니다</t>
    </r>
    <r>
      <rPr>
        <sz val="9.5"/>
        <color rgb="FF44506B"/>
        <rFont val="맑은 고딕"/>
        <family val="2"/>
        <charset val="129"/>
      </rPr>
      <t>.</t>
    </r>
  </si>
  <si>
    <r>
      <rPr>
        <sz val="9.5"/>
        <color rgb="FF44506B"/>
        <rFont val="맑은 고딕"/>
        <family val="2"/>
        <charset val="129"/>
      </rPr>
      <t xml:space="preserve">  · </t>
    </r>
    <r>
      <rPr>
        <sz val="9.5"/>
        <color rgb="FF44506B"/>
        <rFont val="Noto Sans CJK SC"/>
        <family val="2"/>
      </rPr>
      <t xml:space="preserve">복제 중단 상태의 </t>
    </r>
    <r>
      <rPr>
        <sz val="9.5"/>
        <color rgb="FF44506B"/>
        <rFont val="맑은 고딕"/>
        <family val="2"/>
        <charset val="129"/>
      </rPr>
      <t xml:space="preserve">Slave </t>
    </r>
    <r>
      <rPr>
        <sz val="9.5"/>
        <color rgb="FF44506B"/>
        <rFont val="Noto Sans CJK SC"/>
        <family val="2"/>
      </rPr>
      <t>는 마이그레이션 이전 데이터를 보존하고 있으므로 롤백 시 활용할 수 있습니다</t>
    </r>
    <r>
      <rPr>
        <sz val="9.5"/>
        <color rgb="FF44506B"/>
        <rFont val="맑은 고딕"/>
        <family val="2"/>
        <charset val="129"/>
      </rPr>
      <t xml:space="preserve">. </t>
    </r>
    <r>
      <rPr>
        <sz val="9.5"/>
        <color rgb="FF44506B"/>
        <rFont val="Noto Sans CJK SC"/>
        <family val="2"/>
      </rPr>
      <t xml:space="preserve">배포 중 </t>
    </r>
    <r>
      <rPr>
        <sz val="9.5"/>
        <color rgb="FF44506B"/>
        <rFont val="맑은 고딕"/>
        <family val="2"/>
        <charset val="129"/>
      </rPr>
      <t xml:space="preserve">Slave </t>
    </r>
    <r>
      <rPr>
        <sz val="9.5"/>
        <color rgb="FF44506B"/>
        <rFont val="Noto Sans CJK SC"/>
        <family val="2"/>
      </rPr>
      <t>데이터를 변경하지 마십시오</t>
    </r>
    <r>
      <rPr>
        <sz val="9.5"/>
        <color rgb="FF44506B"/>
        <rFont val="맑은 고딕"/>
        <family val="2"/>
        <charset val="129"/>
      </rPr>
      <t>.</t>
    </r>
  </si>
  <si>
    <r>
      <rPr>
        <sz val="9.5"/>
        <color rgb="FF44506B"/>
        <rFont val="맑은 고딕"/>
        <family val="2"/>
        <charset val="129"/>
      </rPr>
      <t xml:space="preserve">  · </t>
    </r>
    <r>
      <rPr>
        <sz val="9.5"/>
        <color rgb="FF44506B"/>
        <rFont val="Noto Sans CJK SC"/>
        <family val="2"/>
      </rPr>
      <t xml:space="preserve">롤백 결정 시한은 </t>
    </r>
    <r>
      <rPr>
        <sz val="9.5"/>
        <color rgb="FF44506B"/>
        <rFont val="맑은 고딕"/>
        <family val="2"/>
        <charset val="129"/>
      </rPr>
      <t xml:space="preserve">17:00 </t>
    </r>
    <r>
      <rPr>
        <sz val="9.5"/>
        <color rgb="FF44506B"/>
        <rFont val="Noto Sans CJK SC"/>
        <family val="2"/>
      </rPr>
      <t>이며</t>
    </r>
    <r>
      <rPr>
        <sz val="9.5"/>
        <color rgb="FF44506B"/>
        <rFont val="맑은 고딕"/>
        <family val="2"/>
        <charset val="129"/>
      </rPr>
      <t xml:space="preserve">, </t>
    </r>
    <r>
      <rPr>
        <sz val="9.5"/>
        <color rgb="FF44506B"/>
        <rFont val="Noto Sans CJK SC"/>
        <family val="2"/>
      </rPr>
      <t xml:space="preserve">롤백 절차는 시트 </t>
    </r>
    <r>
      <rPr>
        <sz val="9.5"/>
        <color rgb="FF44506B"/>
        <rFont val="맑은 고딕"/>
        <family val="2"/>
        <charset val="129"/>
      </rPr>
      <t xml:space="preserve">3 </t>
    </r>
    <r>
      <rPr>
        <sz val="9.5"/>
        <color rgb="FF44506B"/>
        <rFont val="Noto Sans CJK SC"/>
        <family val="2"/>
      </rPr>
      <t>을 따릅니다</t>
    </r>
    <r>
      <rPr>
        <sz val="9.5"/>
        <color rgb="FF44506B"/>
        <rFont val="맑은 고딕"/>
        <family val="2"/>
        <charset val="129"/>
      </rPr>
      <t>.</t>
    </r>
  </si>
  <si>
    <r>
      <rPr>
        <sz val="9.5"/>
        <color rgb="FF44506B"/>
        <rFont val="맑은 고딕"/>
        <family val="2"/>
        <charset val="129"/>
      </rPr>
      <t xml:space="preserve">  · </t>
    </r>
    <r>
      <rPr>
        <sz val="9.5"/>
        <color rgb="FF44506B"/>
        <rFont val="Noto Sans CJK SC"/>
        <family val="2"/>
      </rPr>
      <t xml:space="preserve">앱 </t>
    </r>
    <r>
      <rPr>
        <sz val="9.5"/>
        <color rgb="FF44506B"/>
        <rFont val="맑은 고딕"/>
        <family val="2"/>
        <charset val="129"/>
      </rPr>
      <t xml:space="preserve">HMP </t>
    </r>
    <r>
      <rPr>
        <sz val="9.5"/>
        <color rgb="FF44506B"/>
        <rFont val="Noto Sans CJK SC"/>
        <family val="2"/>
      </rPr>
      <t xml:space="preserve">오픈은 반드시 웹 </t>
    </r>
    <r>
      <rPr>
        <sz val="9.5"/>
        <color rgb="FF44506B"/>
        <rFont val="맑은 고딕"/>
        <family val="2"/>
        <charset val="129"/>
      </rPr>
      <t xml:space="preserve">QA </t>
    </r>
    <r>
      <rPr>
        <sz val="9.5"/>
        <color rgb="FF44506B"/>
        <rFont val="Noto Sans CJK SC"/>
        <family val="2"/>
      </rPr>
      <t>통과 이후에 진행합니다</t>
    </r>
    <r>
      <rPr>
        <sz val="9.5"/>
        <color rgb="FF44506B"/>
        <rFont val="맑은 고딕"/>
        <family val="2"/>
        <charset val="129"/>
      </rPr>
      <t>.</t>
    </r>
  </si>
  <si>
    <r>
      <rPr>
        <b/>
        <sz val="15"/>
        <color rgb="FF21295C"/>
        <rFont val="Noto Sans CJK SC"/>
        <family val="2"/>
      </rPr>
      <t xml:space="preserve">배포 사전 준비 체크리스트 </t>
    </r>
    <r>
      <rPr>
        <b/>
        <sz val="15"/>
        <color rgb="FF21295C"/>
        <rFont val="맑은 고딕"/>
        <family val="2"/>
        <charset val="129"/>
      </rPr>
      <t>(D-1 : 2026-09-09)</t>
    </r>
  </si>
  <si>
    <r>
      <rPr>
        <sz val="9"/>
        <color rgb="FF6B7785"/>
        <rFont val="Noto Sans CJK SC"/>
        <family val="2"/>
      </rPr>
      <t>배포 전일까지 완료되어야 하는 준비 항목입니다</t>
    </r>
    <r>
      <rPr>
        <sz val="9"/>
        <color rgb="FF6B7785"/>
        <rFont val="맑은 고딕"/>
        <family val="2"/>
        <charset val="129"/>
      </rPr>
      <t>.</t>
    </r>
  </si>
  <si>
    <t>구분</t>
  </si>
  <si>
    <t>준비 항목</t>
  </si>
  <si>
    <t>상세 내용</t>
  </si>
  <si>
    <t>완료 예정일</t>
  </si>
  <si>
    <t>비고</t>
  </si>
  <si>
    <t>배포 자산</t>
  </si>
  <si>
    <t>운영 배포용 이미지 준비</t>
  </si>
  <si>
    <t>운영 반영할 신규 버전 이미지가 서버에 준비되어 있는지 확인</t>
  </si>
  <si>
    <r>
      <rPr>
        <b/>
        <sz val="9.5"/>
        <rFont val="Noto Sans CJK SC"/>
        <family val="2"/>
      </rPr>
      <t>운영 환경설정</t>
    </r>
    <r>
      <rPr>
        <b/>
        <sz val="9.5"/>
        <rFont val="맑은 고딕"/>
        <family val="2"/>
        <charset val="129"/>
      </rPr>
      <t xml:space="preserve">(.env) </t>
    </r>
    <r>
      <rPr>
        <b/>
        <sz val="9.5"/>
        <rFont val="Noto Sans CJK SC"/>
        <family val="2"/>
      </rPr>
      <t>준비</t>
    </r>
  </si>
  <si>
    <r>
      <rPr>
        <sz val="9.5"/>
        <rFont val="Noto Sans CJK SC"/>
        <family val="2"/>
      </rPr>
      <t xml:space="preserve">운영 기준 설정값 반영된 </t>
    </r>
    <r>
      <rPr>
        <sz val="9.5"/>
        <rFont val="맑은 고딕"/>
        <family val="2"/>
        <charset val="129"/>
      </rPr>
      <t xml:space="preserve">.env </t>
    </r>
    <r>
      <rPr>
        <sz val="9.5"/>
        <rFont val="Noto Sans CJK SC"/>
        <family val="2"/>
      </rPr>
      <t>파일 준비 및 검토</t>
    </r>
  </si>
  <si>
    <r>
      <rPr>
        <b/>
        <sz val="9.5"/>
        <rFont val="Noto Sans CJK SC"/>
        <family val="2"/>
      </rPr>
      <t xml:space="preserve">기존 </t>
    </r>
    <r>
      <rPr>
        <b/>
        <sz val="9.5"/>
        <rFont val="맑은 고딕"/>
        <family val="2"/>
        <charset val="129"/>
      </rPr>
      <t xml:space="preserve">.env </t>
    </r>
    <r>
      <rPr>
        <b/>
        <sz val="9.5"/>
        <rFont val="Noto Sans CJK SC"/>
        <family val="2"/>
      </rPr>
      <t>백업</t>
    </r>
  </si>
  <si>
    <r>
      <rPr>
        <sz val="9.5"/>
        <rFont val="Noto Sans CJK SC"/>
        <family val="2"/>
      </rPr>
      <t xml:space="preserve">롤백 대비 현재 운영 중인 </t>
    </r>
    <r>
      <rPr>
        <sz val="9.5"/>
        <rFont val="맑은 고딕"/>
        <family val="2"/>
        <charset val="129"/>
      </rPr>
      <t xml:space="preserve">.env </t>
    </r>
    <r>
      <rPr>
        <sz val="9.5"/>
        <rFont val="Noto Sans CJK SC"/>
        <family val="2"/>
      </rPr>
      <t>파일 백업</t>
    </r>
  </si>
  <si>
    <t>데이터베이스</t>
  </si>
  <si>
    <t>마이그레이션 스크립트 확정</t>
  </si>
  <si>
    <r>
      <rPr>
        <sz val="9.5"/>
        <rFont val="Noto Sans CJK SC"/>
        <family val="2"/>
      </rPr>
      <t xml:space="preserve">최종본 확정 및 실행 순서 정리 </t>
    </r>
    <r>
      <rPr>
        <sz val="9.5"/>
        <rFont val="맑은 고딕"/>
        <family val="2"/>
        <charset val="129"/>
      </rPr>
      <t xml:space="preserve">(Master </t>
    </r>
    <r>
      <rPr>
        <sz val="9.5"/>
        <rFont val="Noto Sans CJK SC"/>
        <family val="2"/>
      </rPr>
      <t>전용 실행</t>
    </r>
    <r>
      <rPr>
        <sz val="9.5"/>
        <rFont val="맑은 고딕"/>
        <family val="2"/>
        <charset val="129"/>
      </rPr>
      <t>)</t>
    </r>
  </si>
  <si>
    <t>스테이징 리허설 완료</t>
  </si>
  <si>
    <r>
      <rPr>
        <sz val="9.5"/>
        <rFont val="Noto Sans CJK SC"/>
        <family val="2"/>
      </rPr>
      <t>개발</t>
    </r>
    <r>
      <rPr>
        <sz val="9.5"/>
        <rFont val="맑은 고딕"/>
        <family val="2"/>
        <charset val="129"/>
      </rPr>
      <t>/</t>
    </r>
    <r>
      <rPr>
        <sz val="9.5"/>
        <rFont val="Noto Sans CJK SC"/>
        <family val="2"/>
      </rPr>
      <t>스테이징 환경에서 마이그레이션 실행 및 결과 검증 완료</t>
    </r>
  </si>
  <si>
    <t>백업 저장 공간 확보</t>
  </si>
  <si>
    <r>
      <rPr>
        <sz val="9.5"/>
        <rFont val="Noto Sans CJK SC"/>
        <family val="2"/>
      </rPr>
      <t xml:space="preserve">덤프 예상 용량의 </t>
    </r>
    <r>
      <rPr>
        <sz val="9.5"/>
        <rFont val="맑은 고딕"/>
        <family val="2"/>
        <charset val="129"/>
      </rPr>
      <t>2</t>
    </r>
    <r>
      <rPr>
        <sz val="9.5"/>
        <rFont val="Noto Sans CJK SC"/>
        <family val="2"/>
      </rPr>
      <t>배 이상 여유 공간 확보 여부 확인</t>
    </r>
  </si>
  <si>
    <t>백업 소요 시간 사전 측정</t>
  </si>
  <si>
    <r>
      <rPr>
        <sz val="9.5"/>
        <rFont val="Noto Sans CJK SC"/>
        <family val="2"/>
      </rPr>
      <t xml:space="preserve">사전 테스트를 통해 실제 덤프 소요 시간 확인 </t>
    </r>
    <r>
      <rPr>
        <sz val="9.5"/>
        <rFont val="맑은 고딕"/>
        <family val="2"/>
        <charset val="129"/>
      </rPr>
      <t>(</t>
    </r>
    <r>
      <rPr>
        <sz val="9.5"/>
        <rFont val="Noto Sans CJK SC"/>
        <family val="2"/>
      </rPr>
      <t xml:space="preserve">계획 </t>
    </r>
    <r>
      <rPr>
        <sz val="9.5"/>
        <rFont val="맑은 고딕"/>
        <family val="2"/>
        <charset val="129"/>
      </rPr>
      <t>90</t>
    </r>
    <r>
      <rPr>
        <sz val="9.5"/>
        <rFont val="Noto Sans CJK SC"/>
        <family val="2"/>
      </rPr>
      <t>분</t>
    </r>
    <r>
      <rPr>
        <sz val="9.5"/>
        <rFont val="맑은 고딕"/>
        <family val="2"/>
        <charset val="129"/>
      </rPr>
      <t>)</t>
    </r>
  </si>
  <si>
    <t>롤백</t>
  </si>
  <si>
    <t>이전 버전 이미지 보관 확인</t>
  </si>
  <si>
    <t>롤백 시 사용할 직전 운영 버전 이미지 보관 상태 확인</t>
  </si>
  <si>
    <t>롤백 절차 숙지</t>
  </si>
  <si>
    <r>
      <rPr>
        <sz val="9.5"/>
        <rFont val="Noto Sans CJK SC"/>
        <family val="2"/>
      </rPr>
      <t xml:space="preserve">시트 </t>
    </r>
    <r>
      <rPr>
        <sz val="9.5"/>
        <rFont val="맑은 고딕"/>
        <family val="2"/>
        <charset val="129"/>
      </rPr>
      <t xml:space="preserve">3 </t>
    </r>
    <r>
      <rPr>
        <sz val="9.5"/>
        <rFont val="Noto Sans CJK SC"/>
        <family val="2"/>
      </rPr>
      <t>롤백 절차를 참여 인원이 사전 공유</t>
    </r>
    <r>
      <rPr>
        <sz val="9.5"/>
        <rFont val="맑은 고딕"/>
        <family val="2"/>
        <charset val="129"/>
      </rPr>
      <t>·</t>
    </r>
    <r>
      <rPr>
        <sz val="9.5"/>
        <rFont val="Noto Sans CJK SC"/>
        <family val="2"/>
      </rPr>
      <t>숙지</t>
    </r>
  </si>
  <si>
    <t>앱 신버전 스토어 등록 확인</t>
  </si>
  <si>
    <r>
      <rPr>
        <sz val="9.5"/>
        <rFont val="맑은 고딕"/>
        <family val="2"/>
        <charset val="129"/>
      </rPr>
      <t xml:space="preserve">iOS · Android </t>
    </r>
    <r>
      <rPr>
        <sz val="9.5"/>
        <rFont val="Noto Sans CJK SC"/>
        <family val="2"/>
      </rPr>
      <t>신버전 심사 및 등록 완료 상태 확인</t>
    </r>
  </si>
  <si>
    <r>
      <rPr>
        <b/>
        <sz val="9.5"/>
        <rFont val="맑은 고딕"/>
        <family val="2"/>
        <charset val="129"/>
      </rPr>
      <t xml:space="preserve">HMP </t>
    </r>
    <r>
      <rPr>
        <b/>
        <sz val="9.5"/>
        <rFont val="Noto Sans CJK SC"/>
        <family val="2"/>
      </rPr>
      <t>오픈 설정 확인</t>
    </r>
  </si>
  <si>
    <t>지정 시각 오픈 및 강제 업데이트 설정 확인</t>
  </si>
  <si>
    <t>공지</t>
  </si>
  <si>
    <t>사용자 사전 공지</t>
  </si>
  <si>
    <t>배포 일시 및 서비스 중단 시간 사전 공지 발송</t>
  </si>
  <si>
    <t>점검 안내 페이지 준비</t>
  </si>
  <si>
    <r>
      <rPr>
        <sz val="9.5"/>
        <rFont val="Noto Sans CJK SC"/>
        <family val="2"/>
      </rPr>
      <t xml:space="preserve">중단 구간에 노출할 점검 안내 페이지 준비 및 전환 방법 확인 </t>
    </r>
    <r>
      <rPr>
        <sz val="9.5"/>
        <rFont val="맑은 고딕"/>
        <family val="2"/>
        <charset val="129"/>
      </rPr>
      <t>(</t>
    </r>
    <r>
      <rPr>
        <sz val="9.5"/>
        <rFont val="Noto Sans CJK SC"/>
        <family val="2"/>
      </rPr>
      <t>선택</t>
    </r>
    <r>
      <rPr>
        <sz val="9.5"/>
        <rFont val="맑은 고딕"/>
        <family val="2"/>
        <charset val="129"/>
      </rPr>
      <t>)</t>
    </r>
  </si>
  <si>
    <t>관련 부서 스탠바이 요청</t>
  </si>
  <si>
    <t>업무 시간 중 배포에 따른 관련 부서 스탠바이 협조 요청</t>
  </si>
  <si>
    <t>참여 인원 및 연락망 확인</t>
  </si>
  <si>
    <r>
      <rPr>
        <sz val="9.5"/>
        <rFont val="Noto Sans CJK SC"/>
        <family val="2"/>
      </rPr>
      <t xml:space="preserve">앱 </t>
    </r>
    <r>
      <rPr>
        <sz val="9.5"/>
        <rFont val="맑은 고딕"/>
        <family val="2"/>
        <charset val="129"/>
      </rPr>
      <t>1</t>
    </r>
    <r>
      <rPr>
        <sz val="9.5"/>
        <rFont val="Noto Sans CJK SC"/>
        <family val="2"/>
      </rPr>
      <t xml:space="preserve">명 </t>
    </r>
    <r>
      <rPr>
        <sz val="9.5"/>
        <rFont val="맑은 고딕"/>
        <family val="2"/>
        <charset val="129"/>
      </rPr>
      <t xml:space="preserve">· </t>
    </r>
    <r>
      <rPr>
        <sz val="9.5"/>
        <rFont val="Noto Sans CJK SC"/>
        <family val="2"/>
      </rPr>
      <t xml:space="preserve">서버 </t>
    </r>
    <r>
      <rPr>
        <sz val="9.5"/>
        <rFont val="맑은 고딕"/>
        <family val="2"/>
        <charset val="129"/>
      </rPr>
      <t>1</t>
    </r>
    <r>
      <rPr>
        <sz val="9.5"/>
        <rFont val="Noto Sans CJK SC"/>
        <family val="2"/>
      </rPr>
      <t xml:space="preserve">명 </t>
    </r>
    <r>
      <rPr>
        <sz val="9.5"/>
        <rFont val="맑은 고딕"/>
        <family val="2"/>
        <charset val="129"/>
      </rPr>
      <t xml:space="preserve">· </t>
    </r>
    <r>
      <rPr>
        <sz val="9.5"/>
        <rFont val="Noto Sans CJK SC"/>
        <family val="2"/>
      </rPr>
      <t xml:space="preserve">운영 </t>
    </r>
    <r>
      <rPr>
        <sz val="9.5"/>
        <rFont val="맑은 고딕"/>
        <family val="2"/>
        <charset val="129"/>
      </rPr>
      <t>1</t>
    </r>
    <r>
      <rPr>
        <sz val="9.5"/>
        <rFont val="Noto Sans CJK SC"/>
        <family val="2"/>
      </rPr>
      <t>명 일정 확정</t>
    </r>
    <r>
      <rPr>
        <sz val="9.5"/>
        <rFont val="맑은 고딕"/>
        <family val="2"/>
        <charset val="129"/>
      </rPr>
      <t xml:space="preserve">, </t>
    </r>
    <r>
      <rPr>
        <sz val="9.5"/>
        <rFont val="Noto Sans CJK SC"/>
        <family val="2"/>
      </rPr>
      <t>비상 연락망 공유</t>
    </r>
  </si>
  <si>
    <r>
      <rPr>
        <b/>
        <sz val="9.5"/>
        <rFont val="맑은 고딕"/>
        <family val="2"/>
        <charset val="129"/>
      </rPr>
      <t xml:space="preserve">QA </t>
    </r>
    <r>
      <rPr>
        <b/>
        <sz val="9.5"/>
        <rFont val="Noto Sans CJK SC"/>
        <family val="2"/>
      </rPr>
      <t>시나리오 확정</t>
    </r>
  </si>
  <si>
    <r>
      <rPr>
        <sz val="9.5"/>
        <rFont val="Noto Sans CJK SC"/>
        <family val="2"/>
      </rPr>
      <t>배포 후 검증 항목</t>
    </r>
    <r>
      <rPr>
        <sz val="9.5"/>
        <rFont val="맑은 고딕"/>
        <family val="2"/>
        <charset val="129"/>
      </rPr>
      <t>(</t>
    </r>
    <r>
      <rPr>
        <sz val="9.5"/>
        <rFont val="Noto Sans CJK SC"/>
        <family val="2"/>
      </rPr>
      <t xml:space="preserve">시트 </t>
    </r>
    <r>
      <rPr>
        <sz val="9.5"/>
        <rFont val="맑은 고딕"/>
        <family val="2"/>
        <charset val="129"/>
      </rPr>
      <t xml:space="preserve">4) </t>
    </r>
    <r>
      <rPr>
        <sz val="9.5"/>
        <rFont val="Noto Sans CJK SC"/>
        <family val="2"/>
      </rPr>
      <t>최종 확정 및 담당 배정</t>
    </r>
  </si>
  <si>
    <r>
      <rPr>
        <b/>
        <sz val="15"/>
        <color rgb="FF21295C"/>
        <rFont val="Noto Sans CJK SC"/>
        <family val="2"/>
      </rPr>
      <t xml:space="preserve">롤백 절차 </t>
    </r>
    <r>
      <rPr>
        <b/>
        <sz val="15"/>
        <color rgb="FF21295C"/>
        <rFont val="맑은 고딕"/>
        <family val="2"/>
        <charset val="129"/>
      </rPr>
      <t>(Rollback Plan)</t>
    </r>
  </si>
  <si>
    <r>
      <rPr>
        <sz val="9"/>
        <color rgb="FF6B7785"/>
        <rFont val="Noto Sans CJK SC"/>
        <family val="2"/>
      </rPr>
      <t xml:space="preserve">롤백 결정 시한 </t>
    </r>
    <r>
      <rPr>
        <sz val="9"/>
        <color rgb="FF6B7785"/>
        <rFont val="맑은 고딕"/>
        <family val="2"/>
        <charset val="129"/>
      </rPr>
      <t xml:space="preserve">17:00  |  </t>
    </r>
    <r>
      <rPr>
        <sz val="9"/>
        <color rgb="FF6B7785"/>
        <rFont val="Noto Sans CJK SC"/>
        <family val="2"/>
      </rPr>
      <t xml:space="preserve">예상 소요 약 </t>
    </r>
    <r>
      <rPr>
        <sz val="9"/>
        <color rgb="FF6B7785"/>
        <rFont val="맑은 고딕"/>
        <family val="2"/>
        <charset val="129"/>
      </rPr>
      <t>1</t>
    </r>
    <r>
      <rPr>
        <sz val="9"/>
        <color rgb="FF6B7785"/>
        <rFont val="Noto Sans CJK SC"/>
        <family val="2"/>
      </rPr>
      <t xml:space="preserve">시간  </t>
    </r>
    <r>
      <rPr>
        <sz val="9"/>
        <color rgb="FF6B7785"/>
        <rFont val="맑은 고딕"/>
        <family val="2"/>
        <charset val="129"/>
      </rPr>
      <t xml:space="preserve">|  </t>
    </r>
    <r>
      <rPr>
        <sz val="9"/>
        <color rgb="FF6B7785"/>
        <rFont val="Noto Sans CJK SC"/>
        <family val="2"/>
      </rPr>
      <t xml:space="preserve">롤백 착수 시 </t>
    </r>
    <r>
      <rPr>
        <sz val="9"/>
        <color rgb="FF6B7785"/>
        <rFont val="맑은 고딕"/>
        <family val="2"/>
        <charset val="129"/>
      </rPr>
      <t xml:space="preserve">18:00 </t>
    </r>
    <r>
      <rPr>
        <sz val="9"/>
        <color rgb="FF6B7785"/>
        <rFont val="Noto Sans CJK SC"/>
        <family val="2"/>
      </rPr>
      <t>서비스 정상화 목표</t>
    </r>
  </si>
  <si>
    <t>롤백 판단 기준</t>
  </si>
  <si>
    <t xml:space="preserve">   ① 데이터베이스 마이그레이션 실패 또는 데이터 정합성 이상 발생</t>
  </si>
  <si>
    <r>
      <rPr>
        <sz val="9.5"/>
        <color rgb="FF44506B"/>
        <rFont val="Noto Sans CJK SC"/>
        <family val="2"/>
      </rPr>
      <t xml:space="preserve">   ② 로그인 </t>
    </r>
    <r>
      <rPr>
        <sz val="9.5"/>
        <color rgb="FF44506B"/>
        <rFont val="맑은 고딕"/>
        <family val="2"/>
        <charset val="129"/>
      </rPr>
      <t xml:space="preserve">· </t>
    </r>
    <r>
      <rPr>
        <sz val="9.5"/>
        <color rgb="FF44506B"/>
        <rFont val="Noto Sans CJK SC"/>
        <family val="2"/>
      </rPr>
      <t>회의록 생성 등 핵심 기능의 정상 동작 불가</t>
    </r>
  </si>
  <si>
    <r>
      <rPr>
        <sz val="9.5"/>
        <color rgb="FF44506B"/>
        <rFont val="맑은 고딕"/>
        <family val="2"/>
        <charset val="129"/>
      </rPr>
      <t xml:space="preserve">   ③ 17:00 </t>
    </r>
    <r>
      <rPr>
        <sz val="9.5"/>
        <color rgb="FF44506B"/>
        <rFont val="Noto Sans CJK SC"/>
        <family val="2"/>
      </rPr>
      <t>까지 서비스 정상화가 완료되지 않은 경우</t>
    </r>
  </si>
  <si>
    <t xml:space="preserve">   ④ 복구 불가능한 장애로 담당자가 롤백을 결정한 경우</t>
  </si>
  <si>
    <t>단계</t>
  </si>
  <si>
    <t>롤백 결정 및 공지</t>
  </si>
  <si>
    <r>
      <rPr>
        <sz val="9.5"/>
        <rFont val="Noto Sans CJK SC"/>
        <family val="2"/>
      </rPr>
      <t>담당자 협의 후 롤백 결정</t>
    </r>
    <r>
      <rPr>
        <sz val="9.5"/>
        <rFont val="맑은 고딕"/>
        <family val="2"/>
        <charset val="129"/>
      </rPr>
      <t xml:space="preserve">, </t>
    </r>
    <r>
      <rPr>
        <sz val="9.5"/>
        <rFont val="Noto Sans CJK SC"/>
        <family val="2"/>
      </rPr>
      <t xml:space="preserve">관련 부서 및 사용자 공지 </t>
    </r>
    <r>
      <rPr>
        <sz val="9.5"/>
        <rFont val="맑은 고딕"/>
        <family val="2"/>
        <charset val="129"/>
      </rPr>
      <t xml:space="preserve">/ </t>
    </r>
    <r>
      <rPr>
        <sz val="9.5"/>
        <rFont val="Noto Sans CJK SC"/>
        <family val="2"/>
      </rPr>
      <t>점검 안내 페이지 유지</t>
    </r>
  </si>
  <si>
    <t>신규 서비스 중지</t>
  </si>
  <si>
    <r>
      <rPr>
        <sz val="9.5"/>
        <rFont val="Noto Sans CJK SC"/>
        <family val="2"/>
      </rPr>
      <t xml:space="preserve">신규 버전 웹 프론트엔드 </t>
    </r>
    <r>
      <rPr>
        <sz val="9.5"/>
        <rFont val="맑은 고딕"/>
        <family val="2"/>
        <charset val="129"/>
      </rPr>
      <t>3</t>
    </r>
    <r>
      <rPr>
        <sz val="9.5"/>
        <rFont val="Noto Sans CJK SC"/>
        <family val="2"/>
      </rPr>
      <t xml:space="preserve">개 </t>
    </r>
    <r>
      <rPr>
        <sz val="9.5"/>
        <rFont val="맑은 고딕"/>
        <family val="2"/>
        <charset val="129"/>
      </rPr>
      <t xml:space="preserve">· </t>
    </r>
    <r>
      <rPr>
        <sz val="9.5"/>
        <rFont val="Noto Sans CJK SC"/>
        <family val="2"/>
      </rPr>
      <t xml:space="preserve">백엔드 </t>
    </r>
    <r>
      <rPr>
        <sz val="9.5"/>
        <rFont val="맑은 고딕"/>
        <family val="2"/>
        <charset val="129"/>
      </rPr>
      <t>7</t>
    </r>
    <r>
      <rPr>
        <sz val="9.5"/>
        <rFont val="Noto Sans CJK SC"/>
        <family val="2"/>
      </rPr>
      <t>개 컨테이너 전체 중지</t>
    </r>
  </si>
  <si>
    <t>현재 상태 보존</t>
  </si>
  <si>
    <r>
      <rPr>
        <sz val="9.5"/>
        <rFont val="Noto Sans CJK SC"/>
        <family val="2"/>
      </rPr>
      <t xml:space="preserve">원인 분석을 위해 마이그레이션 후 </t>
    </r>
    <r>
      <rPr>
        <sz val="9.5"/>
        <rFont val="맑은 고딕"/>
        <family val="2"/>
        <charset val="129"/>
      </rPr>
      <t xml:space="preserve">Master </t>
    </r>
    <r>
      <rPr>
        <sz val="9.5"/>
        <rFont val="Noto Sans CJK SC"/>
        <family val="2"/>
      </rPr>
      <t>데이터 및 로그를 별도 경로에 보관</t>
    </r>
  </si>
  <si>
    <r>
      <rPr>
        <b/>
        <sz val="9.5"/>
        <rFont val="맑은 고딕"/>
        <family val="2"/>
        <charset val="129"/>
      </rPr>
      <t xml:space="preserve">MariaDB </t>
    </r>
    <r>
      <rPr>
        <b/>
        <sz val="9.5"/>
        <rFont val="Noto Sans CJK SC"/>
        <family val="2"/>
      </rPr>
      <t>복원</t>
    </r>
  </si>
  <si>
    <r>
      <rPr>
        <sz val="9.5"/>
        <rFont val="Noto Sans CJK SC"/>
        <family val="2"/>
      </rPr>
      <t xml:space="preserve">중단 시점에 받은 덤프 파일로 </t>
    </r>
    <r>
      <rPr>
        <sz val="9.5"/>
        <rFont val="맑은 고딕"/>
        <family val="2"/>
        <charset val="129"/>
      </rPr>
      <t xml:space="preserve">Master </t>
    </r>
    <r>
      <rPr>
        <sz val="9.5"/>
        <rFont val="Noto Sans CJK SC"/>
        <family val="2"/>
      </rPr>
      <t xml:space="preserve">복원 </t>
    </r>
    <r>
      <rPr>
        <sz val="9.5"/>
        <rFont val="맑은 고딕"/>
        <family val="2"/>
        <charset val="129"/>
      </rPr>
      <t>(</t>
    </r>
    <r>
      <rPr>
        <sz val="9.5"/>
        <rFont val="Noto Sans CJK SC"/>
        <family val="2"/>
      </rPr>
      <t>복원 전 복제 중단 상태 유지</t>
    </r>
    <r>
      <rPr>
        <sz val="9.5"/>
        <rFont val="맑은 고딕"/>
        <family val="2"/>
        <charset val="129"/>
      </rPr>
      <t>)</t>
    </r>
  </si>
  <si>
    <r>
      <rPr>
        <b/>
        <sz val="9.5"/>
        <rFont val="맑은 고딕"/>
        <family val="2"/>
        <charset val="129"/>
      </rPr>
      <t xml:space="preserve">MongoDB </t>
    </r>
    <r>
      <rPr>
        <b/>
        <sz val="9.5"/>
        <rFont val="Noto Sans CJK SC"/>
        <family val="2"/>
      </rPr>
      <t>복원</t>
    </r>
  </si>
  <si>
    <r>
      <rPr>
        <sz val="9.5"/>
        <rFont val="Noto Sans CJK SC"/>
        <family val="2"/>
      </rPr>
      <t xml:space="preserve">필요 시 백업 데이터로 복원 </t>
    </r>
    <r>
      <rPr>
        <sz val="9.5"/>
        <rFont val="맑은 고딕"/>
        <family val="2"/>
        <charset val="129"/>
      </rPr>
      <t>(</t>
    </r>
    <r>
      <rPr>
        <sz val="9.5"/>
        <rFont val="Noto Sans CJK SC"/>
        <family val="2"/>
      </rPr>
      <t>스키마 변경 없으므로 대부분 불필요</t>
    </r>
    <r>
      <rPr>
        <sz val="9.5"/>
        <rFont val="맑은 고딕"/>
        <family val="2"/>
        <charset val="129"/>
      </rPr>
      <t>)</t>
    </r>
  </si>
  <si>
    <t>이전 버전 기동</t>
  </si>
  <si>
    <r>
      <rPr>
        <sz val="9.5"/>
        <rFont val="Noto Sans CJK SC"/>
        <family val="2"/>
      </rPr>
      <t xml:space="preserve">기존 </t>
    </r>
    <r>
      <rPr>
        <sz val="9.5"/>
        <rFont val="맑은 고딕"/>
        <family val="2"/>
        <charset val="129"/>
      </rPr>
      <t xml:space="preserve">.env </t>
    </r>
    <r>
      <rPr>
        <sz val="9.5"/>
        <rFont val="Noto Sans CJK SC"/>
        <family val="2"/>
      </rPr>
      <t>복원 후 이전 버전 이미지로 백엔드 → 웹 프론트엔드 순차 기동</t>
    </r>
  </si>
  <si>
    <t>복제 재구성</t>
  </si>
  <si>
    <r>
      <rPr>
        <sz val="9.5"/>
        <rFont val="맑은 고딕"/>
        <family val="2"/>
        <charset val="129"/>
      </rPr>
      <t xml:space="preserve">Master-Slave </t>
    </r>
    <r>
      <rPr>
        <sz val="9.5"/>
        <rFont val="Noto Sans CJK SC"/>
        <family val="2"/>
      </rPr>
      <t xml:space="preserve">복제 재설정 및 동기화 상태 확인 </t>
    </r>
    <r>
      <rPr>
        <sz val="9.5"/>
        <rFont val="맑은 고딕"/>
        <family val="2"/>
        <charset val="129"/>
      </rPr>
      <t xml:space="preserve">(Slave </t>
    </r>
    <r>
      <rPr>
        <sz val="9.5"/>
        <rFont val="Noto Sans CJK SC"/>
        <family val="2"/>
      </rPr>
      <t>는 마이그레이션 이전 상태 유지</t>
    </r>
    <r>
      <rPr>
        <sz val="9.5"/>
        <rFont val="맑은 고딕"/>
        <family val="2"/>
        <charset val="129"/>
      </rPr>
      <t>)</t>
    </r>
  </si>
  <si>
    <t>핵심 기능 점검</t>
  </si>
  <si>
    <r>
      <rPr>
        <sz val="9.5"/>
        <rFont val="맑은 고딕"/>
        <family val="2"/>
        <charset val="129"/>
      </rPr>
      <t xml:space="preserve">SSO </t>
    </r>
    <r>
      <rPr>
        <sz val="9.5"/>
        <rFont val="Noto Sans CJK SC"/>
        <family val="2"/>
      </rPr>
      <t xml:space="preserve">로그인 </t>
    </r>
    <r>
      <rPr>
        <sz val="9.5"/>
        <rFont val="맑은 고딕"/>
        <family val="2"/>
        <charset val="129"/>
      </rPr>
      <t xml:space="preserve">· </t>
    </r>
    <r>
      <rPr>
        <sz val="9.5"/>
        <rFont val="Noto Sans CJK SC"/>
        <family val="2"/>
      </rPr>
      <t xml:space="preserve">회의록 조회 </t>
    </r>
    <r>
      <rPr>
        <sz val="9.5"/>
        <rFont val="맑은 고딕"/>
        <family val="2"/>
        <charset val="129"/>
      </rPr>
      <t xml:space="preserve">· </t>
    </r>
    <r>
      <rPr>
        <sz val="9.5"/>
        <rFont val="Noto Sans CJK SC"/>
        <family val="2"/>
      </rPr>
      <t>앱 접속 등 핵심 기능 정상 동작 확인</t>
    </r>
  </si>
  <si>
    <t>앱 처리</t>
  </si>
  <si>
    <r>
      <rPr>
        <sz val="9.5"/>
        <rFont val="맑은 고딕"/>
        <family val="2"/>
        <charset val="129"/>
      </rPr>
      <t xml:space="preserve">HMP </t>
    </r>
    <r>
      <rPr>
        <sz val="9.5"/>
        <rFont val="Noto Sans CJK SC"/>
        <family val="2"/>
      </rPr>
      <t>오픈 상태인 경우 즉시 클로즈하여 강제 업데이트 중단</t>
    </r>
  </si>
  <si>
    <t>서비스 정상화 및 보고</t>
  </si>
  <si>
    <r>
      <rPr>
        <sz val="9.5"/>
        <rFont val="Noto Sans CJK SC"/>
        <family val="2"/>
      </rPr>
      <t>점검 안내 페이지 해제 후 정상 서비스 전환</t>
    </r>
    <r>
      <rPr>
        <sz val="9.5"/>
        <rFont val="맑은 고딕"/>
        <family val="2"/>
        <charset val="129"/>
      </rPr>
      <t xml:space="preserve">, </t>
    </r>
    <r>
      <rPr>
        <sz val="9.5"/>
        <rFont val="Noto Sans CJK SC"/>
        <family val="2"/>
      </rPr>
      <t>롤백 사유 및 결과 보고</t>
    </r>
  </si>
  <si>
    <t>■ 유의 사항</t>
  </si>
  <si>
    <r>
      <rPr>
        <sz val="9.5"/>
        <color rgb="FF44506B"/>
        <rFont val="맑은 고딕"/>
        <family val="2"/>
        <charset val="129"/>
      </rPr>
      <t xml:space="preserve">  · </t>
    </r>
    <r>
      <rPr>
        <sz val="9.5"/>
        <color rgb="FF44506B"/>
        <rFont val="Noto Sans CJK SC"/>
        <family val="2"/>
      </rPr>
      <t xml:space="preserve">배포 시작 시 복제를 중단하므로 </t>
    </r>
    <r>
      <rPr>
        <sz val="9.5"/>
        <color rgb="FF44506B"/>
        <rFont val="맑은 고딕"/>
        <family val="2"/>
        <charset val="129"/>
      </rPr>
      <t xml:space="preserve">Slave DB </t>
    </r>
    <r>
      <rPr>
        <sz val="9.5"/>
        <color rgb="FF44506B"/>
        <rFont val="Noto Sans CJK SC"/>
        <family val="2"/>
      </rPr>
      <t>는 마이그레이션 이전 상태를 그대로 보존합니다</t>
    </r>
    <r>
      <rPr>
        <sz val="9.5"/>
        <color rgb="FF44506B"/>
        <rFont val="맑은 고딕"/>
        <family val="2"/>
        <charset val="129"/>
      </rPr>
      <t xml:space="preserve">. </t>
    </r>
    <r>
      <rPr>
        <sz val="9.5"/>
        <color rgb="FF44506B"/>
        <rFont val="Noto Sans CJK SC"/>
        <family val="2"/>
      </rPr>
      <t xml:space="preserve">덤프 복원이 지연될 경우 </t>
    </r>
    <r>
      <rPr>
        <sz val="9.5"/>
        <color rgb="FF44506B"/>
        <rFont val="맑은 고딕"/>
        <family val="2"/>
        <charset val="129"/>
      </rPr>
      <t xml:space="preserve">Slave </t>
    </r>
    <r>
      <rPr>
        <sz val="9.5"/>
        <color rgb="FF44506B"/>
        <rFont val="Noto Sans CJK SC"/>
        <family val="2"/>
      </rPr>
      <t>데이터를 활용한 복구가 가능합니다</t>
    </r>
    <r>
      <rPr>
        <sz val="9.5"/>
        <color rgb="FF44506B"/>
        <rFont val="맑은 고딕"/>
        <family val="2"/>
        <charset val="129"/>
      </rPr>
      <t>.</t>
    </r>
  </si>
  <si>
    <r>
      <rPr>
        <sz val="9.5"/>
        <color rgb="FF44506B"/>
        <rFont val="맑은 고딕"/>
        <family val="2"/>
        <charset val="129"/>
      </rPr>
      <t xml:space="preserve">  · </t>
    </r>
    <r>
      <rPr>
        <sz val="9.5"/>
        <color rgb="FF44506B"/>
        <rFont val="Noto Sans CJK SC"/>
        <family val="2"/>
      </rPr>
      <t xml:space="preserve">롤백 착수 후에는 </t>
    </r>
    <r>
      <rPr>
        <sz val="9.5"/>
        <color rgb="FF44506B"/>
        <rFont val="맑은 고딕"/>
        <family val="2"/>
        <charset val="129"/>
      </rPr>
      <t xml:space="preserve">Slave </t>
    </r>
    <r>
      <rPr>
        <sz val="9.5"/>
        <color rgb="FF44506B"/>
        <rFont val="Noto Sans CJK SC"/>
        <family val="2"/>
      </rPr>
      <t>데이터를 임의로 변경하지 마십시오</t>
    </r>
    <r>
      <rPr>
        <sz val="9.5"/>
        <color rgb="FF44506B"/>
        <rFont val="맑은 고딕"/>
        <family val="2"/>
        <charset val="129"/>
      </rPr>
      <t>.</t>
    </r>
  </si>
  <si>
    <r>
      <rPr>
        <sz val="9.5"/>
        <color rgb="FF44506B"/>
        <rFont val="맑은 고딕"/>
        <family val="2"/>
        <charset val="129"/>
      </rPr>
      <t xml:space="preserve">  · </t>
    </r>
    <r>
      <rPr>
        <sz val="9.5"/>
        <color rgb="FF44506B"/>
        <rFont val="Noto Sans CJK SC"/>
        <family val="2"/>
      </rPr>
      <t>롤백 완료 후 원인 분석 결과와 재배포 일정을 별도로 협의합니다</t>
    </r>
    <r>
      <rPr>
        <sz val="9.5"/>
        <color rgb="FF44506B"/>
        <rFont val="맑은 고딕"/>
        <family val="2"/>
        <charset val="129"/>
      </rPr>
      <t>.</t>
    </r>
  </si>
  <si>
    <r>
      <rPr>
        <b/>
        <sz val="15"/>
        <color rgb="FF21295C"/>
        <rFont val="Noto Sans CJK SC"/>
        <family val="2"/>
      </rPr>
      <t xml:space="preserve">배포 후 서비스 검증 </t>
    </r>
    <r>
      <rPr>
        <b/>
        <sz val="15"/>
        <color rgb="FF21295C"/>
        <rFont val="맑은 고딕"/>
        <family val="2"/>
        <charset val="129"/>
      </rPr>
      <t xml:space="preserve">(QA) </t>
    </r>
    <r>
      <rPr>
        <b/>
        <sz val="15"/>
        <color rgb="FF21295C"/>
        <rFont val="Noto Sans CJK SC"/>
        <family val="2"/>
      </rPr>
      <t>체크리스트</t>
    </r>
  </si>
  <si>
    <r>
      <rPr>
        <sz val="9"/>
        <color rgb="FF6B7785"/>
        <rFont val="Noto Sans CJK SC"/>
        <family val="2"/>
      </rPr>
      <t xml:space="preserve">웹 검증 완료 → </t>
    </r>
    <r>
      <rPr>
        <sz val="9"/>
        <color rgb="FF6B7785"/>
        <rFont val="맑은 고딕"/>
        <family val="2"/>
        <charset val="129"/>
      </rPr>
      <t>1</t>
    </r>
    <r>
      <rPr>
        <sz val="9"/>
        <color rgb="FF6B7785"/>
        <rFont val="Noto Sans CJK SC"/>
        <family val="2"/>
      </rPr>
      <t xml:space="preserve">차 </t>
    </r>
    <r>
      <rPr>
        <sz val="9"/>
        <color rgb="FF6B7785"/>
        <rFont val="맑은 고딕"/>
        <family val="2"/>
        <charset val="129"/>
      </rPr>
      <t xml:space="preserve">Go/No-Go </t>
    </r>
    <r>
      <rPr>
        <sz val="9"/>
        <color rgb="FF6B7785"/>
        <rFont val="Noto Sans CJK SC"/>
        <family val="2"/>
      </rPr>
      <t xml:space="preserve">판단 → 앱 </t>
    </r>
    <r>
      <rPr>
        <sz val="9"/>
        <color rgb="FF6B7785"/>
        <rFont val="맑은 고딕"/>
        <family val="2"/>
        <charset val="129"/>
      </rPr>
      <t xml:space="preserve">HMP </t>
    </r>
    <r>
      <rPr>
        <sz val="9"/>
        <color rgb="FF6B7785"/>
        <rFont val="Noto Sans CJK SC"/>
        <family val="2"/>
      </rPr>
      <t>오픈 → 앱 검증 순으로 진행합니다</t>
    </r>
    <r>
      <rPr>
        <sz val="9"/>
        <color rgb="FF6B7785"/>
        <rFont val="맑은 고딕"/>
        <family val="2"/>
        <charset val="129"/>
      </rPr>
      <t>.</t>
    </r>
  </si>
  <si>
    <t>검증 항목</t>
  </si>
  <si>
    <t>검증 방법</t>
  </si>
  <si>
    <t>기대 결과</t>
  </si>
  <si>
    <t>결과</t>
  </si>
  <si>
    <t>확인 시각</t>
  </si>
  <si>
    <r>
      <rPr>
        <sz val="9.5"/>
        <rFont val="Noto Sans CJK SC"/>
        <family val="2"/>
      </rPr>
      <t>공통</t>
    </r>
    <r>
      <rPr>
        <sz val="9.5"/>
        <rFont val="맑은 고딕"/>
        <family val="2"/>
        <charset val="129"/>
      </rPr>
      <t>·</t>
    </r>
    <r>
      <rPr>
        <sz val="9.5"/>
        <rFont val="Noto Sans CJK SC"/>
        <family val="2"/>
      </rPr>
      <t>인증</t>
    </r>
  </si>
  <si>
    <r>
      <rPr>
        <b/>
        <sz val="9.5"/>
        <rFont val="맑은 고딕"/>
        <family val="2"/>
        <charset val="129"/>
      </rPr>
      <t xml:space="preserve">SSO </t>
    </r>
    <r>
      <rPr>
        <b/>
        <sz val="9.5"/>
        <rFont val="Noto Sans CJK SC"/>
        <family val="2"/>
      </rPr>
      <t>로그인</t>
    </r>
  </si>
  <si>
    <r>
      <rPr>
        <sz val="9.5"/>
        <rFont val="Noto Sans CJK SC"/>
        <family val="2"/>
      </rPr>
      <t xml:space="preserve">운영 계정으로 </t>
    </r>
    <r>
      <rPr>
        <sz val="9.5"/>
        <rFont val="맑은 고딕"/>
        <family val="2"/>
        <charset val="129"/>
      </rPr>
      <t xml:space="preserve">SSO </t>
    </r>
    <r>
      <rPr>
        <sz val="9.5"/>
        <rFont val="Noto Sans CJK SC"/>
        <family val="2"/>
      </rPr>
      <t>로그인 수행</t>
    </r>
  </si>
  <si>
    <t>정상 로그인 및 메인 화면 진입</t>
  </si>
  <si>
    <t>로그인 서버 연동</t>
  </si>
  <si>
    <t>로그인 사이트 → 회의록 사이트 이동 확인</t>
  </si>
  <si>
    <t>세션 유지 및 정상 이동</t>
  </si>
  <si>
    <t>권한 처리</t>
  </si>
  <si>
    <r>
      <rPr>
        <sz val="9.5"/>
        <rFont val="Noto Sans CJK SC"/>
        <family val="2"/>
      </rPr>
      <t xml:space="preserve">일반 사용자 </t>
    </r>
    <r>
      <rPr>
        <sz val="9.5"/>
        <rFont val="맑은 고딕"/>
        <family val="2"/>
        <charset val="129"/>
      </rPr>
      <t xml:space="preserve">/ </t>
    </r>
    <r>
      <rPr>
        <sz val="9.5"/>
        <rFont val="Noto Sans CJK SC"/>
        <family val="2"/>
      </rPr>
      <t>관리자 권한별 메뉴 노출 확인</t>
    </r>
  </si>
  <si>
    <t>권한에 맞는 메뉴만 노출</t>
  </si>
  <si>
    <r>
      <rPr>
        <sz val="9.5"/>
        <rFont val="Noto Sans CJK SC"/>
        <family val="2"/>
      </rPr>
      <t xml:space="preserve">웹 </t>
    </r>
    <r>
      <rPr>
        <sz val="9.5"/>
        <rFont val="맑은 고딕"/>
        <family val="2"/>
        <charset val="129"/>
      </rPr>
      <t xml:space="preserve">- </t>
    </r>
    <r>
      <rPr>
        <sz val="9.5"/>
        <rFont val="Noto Sans CJK SC"/>
        <family val="2"/>
      </rPr>
      <t>회의록</t>
    </r>
  </si>
  <si>
    <t>전체 메뉴 클릭 점검</t>
  </si>
  <si>
    <t>회의록 사이트 전 메뉴 순차 클릭</t>
  </si>
  <si>
    <t>오류 페이지 및 콘솔 오류 없음</t>
  </si>
  <si>
    <t>회의록 생성</t>
  </si>
  <si>
    <t>신규 회의록 생성 및 저장</t>
  </si>
  <si>
    <t>정상 생성 및 목록 노출</t>
  </si>
  <si>
    <r>
      <rPr>
        <b/>
        <sz val="9.5"/>
        <rFont val="Noto Sans CJK SC"/>
        <family val="2"/>
      </rPr>
      <t xml:space="preserve">회의록 조회 </t>
    </r>
    <r>
      <rPr>
        <b/>
        <sz val="9.5"/>
        <rFont val="맑은 고딕"/>
        <family val="2"/>
        <charset val="129"/>
      </rPr>
      <t xml:space="preserve">/ </t>
    </r>
    <r>
      <rPr>
        <b/>
        <sz val="9.5"/>
        <rFont val="Noto Sans CJK SC"/>
        <family val="2"/>
      </rPr>
      <t>상세</t>
    </r>
  </si>
  <si>
    <t>기존 회의록 목록 조회 및 상세 진입</t>
  </si>
  <si>
    <r>
      <rPr>
        <sz val="9.5"/>
        <rFont val="Noto Sans CJK SC"/>
        <family val="2"/>
      </rPr>
      <t xml:space="preserve">기존 데이터 정상 조회 </t>
    </r>
    <r>
      <rPr>
        <sz val="9.5"/>
        <rFont val="맑은 고딕"/>
        <family val="2"/>
        <charset val="129"/>
      </rPr>
      <t>(</t>
    </r>
    <r>
      <rPr>
        <sz val="9.5"/>
        <rFont val="Noto Sans CJK SC"/>
        <family val="2"/>
      </rPr>
      <t>마이그레이션 검증</t>
    </r>
    <r>
      <rPr>
        <sz val="9.5"/>
        <rFont val="맑은 고딕"/>
        <family val="2"/>
        <charset val="129"/>
      </rPr>
      <t>)</t>
    </r>
  </si>
  <si>
    <r>
      <rPr>
        <b/>
        <sz val="9.5"/>
        <rFont val="Noto Sans CJK SC"/>
        <family val="2"/>
      </rPr>
      <t xml:space="preserve">템플릿 기능 </t>
    </r>
    <r>
      <rPr>
        <b/>
        <sz val="9.5"/>
        <rFont val="맑은 고딕"/>
        <family val="2"/>
        <charset val="129"/>
      </rPr>
      <t>(</t>
    </r>
    <r>
      <rPr>
        <b/>
        <sz val="9.5"/>
        <rFont val="Noto Sans CJK SC"/>
        <family val="2"/>
      </rPr>
      <t>신규</t>
    </r>
    <r>
      <rPr>
        <b/>
        <sz val="9.5"/>
        <rFont val="맑은 고딕"/>
        <family val="2"/>
        <charset val="129"/>
      </rPr>
      <t>)</t>
    </r>
  </si>
  <si>
    <t>템플릿 선택 후 회의록 작성</t>
  </si>
  <si>
    <t>템플릿 정상 적용</t>
  </si>
  <si>
    <r>
      <rPr>
        <b/>
        <sz val="9.5"/>
        <rFont val="Noto Sans CJK SC"/>
        <family val="2"/>
      </rPr>
      <t xml:space="preserve">보관 폴더 기능 </t>
    </r>
    <r>
      <rPr>
        <b/>
        <sz val="9.5"/>
        <rFont val="맑은 고딕"/>
        <family val="2"/>
        <charset val="129"/>
      </rPr>
      <t>(</t>
    </r>
    <r>
      <rPr>
        <b/>
        <sz val="9.5"/>
        <rFont val="Noto Sans CJK SC"/>
        <family val="2"/>
      </rPr>
      <t>신규</t>
    </r>
    <r>
      <rPr>
        <b/>
        <sz val="9.5"/>
        <rFont val="맑은 고딕"/>
        <family val="2"/>
        <charset val="129"/>
      </rPr>
      <t>)</t>
    </r>
  </si>
  <si>
    <t>폴더 생성 및 회의록 이동</t>
  </si>
  <si>
    <r>
      <rPr>
        <sz val="9.5"/>
        <rFont val="Noto Sans CJK SC"/>
        <family val="2"/>
      </rPr>
      <t xml:space="preserve">폴더 생성 </t>
    </r>
    <r>
      <rPr>
        <sz val="9.5"/>
        <rFont val="맑은 고딕"/>
        <family val="2"/>
        <charset val="129"/>
      </rPr>
      <t xml:space="preserve">/ </t>
    </r>
    <r>
      <rPr>
        <sz val="9.5"/>
        <rFont val="Noto Sans CJK SC"/>
        <family val="2"/>
      </rPr>
      <t>이동 정상 동작</t>
    </r>
  </si>
  <si>
    <r>
      <rPr>
        <sz val="9.5"/>
        <rFont val="Noto Sans CJK SC"/>
        <family val="2"/>
      </rPr>
      <t xml:space="preserve">웹 </t>
    </r>
    <r>
      <rPr>
        <sz val="9.5"/>
        <rFont val="맑은 고딕"/>
        <family val="2"/>
        <charset val="129"/>
      </rPr>
      <t xml:space="preserve">- </t>
    </r>
    <r>
      <rPr>
        <sz val="9.5"/>
        <rFont val="Noto Sans CJK SC"/>
        <family val="2"/>
      </rPr>
      <t>관리</t>
    </r>
  </si>
  <si>
    <t>관리 사이트 기능 점검</t>
  </si>
  <si>
    <t>사용자 관리 등 주요 관리 기능 확인</t>
  </si>
  <si>
    <t>주요 기능 정상 동작</t>
  </si>
  <si>
    <r>
      <rPr>
        <b/>
        <sz val="9.5"/>
        <rFont val="Noto Sans CJK SC"/>
        <family val="2"/>
      </rPr>
      <t xml:space="preserve">감시 로그 기능 </t>
    </r>
    <r>
      <rPr>
        <b/>
        <sz val="9.5"/>
        <rFont val="맑은 고딕"/>
        <family val="2"/>
        <charset val="129"/>
      </rPr>
      <t>(</t>
    </r>
    <r>
      <rPr>
        <b/>
        <sz val="9.5"/>
        <rFont val="Noto Sans CJK SC"/>
        <family val="2"/>
      </rPr>
      <t>신규</t>
    </r>
    <r>
      <rPr>
        <b/>
        <sz val="9.5"/>
        <rFont val="맑은 고딕"/>
        <family val="2"/>
        <charset val="129"/>
      </rPr>
      <t>)</t>
    </r>
  </si>
  <si>
    <t>관리 사이트에서 감시 로그 조회</t>
  </si>
  <si>
    <r>
      <rPr>
        <sz val="9.5"/>
        <rFont val="Noto Sans CJK SC"/>
        <family val="2"/>
      </rPr>
      <t xml:space="preserve">사용자 행위 로그 정상 기록 </t>
    </r>
    <r>
      <rPr>
        <sz val="9.5"/>
        <rFont val="맑은 고딕"/>
        <family val="2"/>
        <charset val="129"/>
      </rPr>
      <t xml:space="preserve">/ </t>
    </r>
    <r>
      <rPr>
        <sz val="9.5"/>
        <rFont val="Noto Sans CJK SC"/>
        <family val="2"/>
      </rPr>
      <t>조회</t>
    </r>
  </si>
  <si>
    <t>모바일 앱</t>
  </si>
  <si>
    <t>앱 강제 업데이트</t>
  </si>
  <si>
    <r>
      <rPr>
        <sz val="9.5"/>
        <rFont val="맑은 고딕"/>
        <family val="2"/>
        <charset val="129"/>
      </rPr>
      <t xml:space="preserve">HMP </t>
    </r>
    <r>
      <rPr>
        <sz val="9.5"/>
        <rFont val="Noto Sans CJK SC"/>
        <family val="2"/>
      </rPr>
      <t>오픈 후 앱 실행</t>
    </r>
  </si>
  <si>
    <t>강제 업데이트 안내 노출 및 정상 업데이트</t>
  </si>
  <si>
    <t>앱 로그인</t>
  </si>
  <si>
    <r>
      <rPr>
        <sz val="9.5"/>
        <rFont val="맑은 고딕"/>
        <family val="2"/>
        <charset val="129"/>
      </rPr>
      <t xml:space="preserve">iOS · Android </t>
    </r>
    <r>
      <rPr>
        <sz val="9.5"/>
        <rFont val="Noto Sans CJK SC"/>
        <family val="2"/>
      </rPr>
      <t>각각 로그인</t>
    </r>
  </si>
  <si>
    <t>정상 로그인</t>
  </si>
  <si>
    <t>회의 녹음</t>
  </si>
  <si>
    <t>앱에서 녹음 수행</t>
  </si>
  <si>
    <t>녹음 정상 동작</t>
  </si>
  <si>
    <t>녹음 파일 업로드</t>
  </si>
  <si>
    <t>녹음 파일 업로드 및 서버 반영 확인</t>
  </si>
  <si>
    <t>업로드 성공 및 웹에서 확인 가능</t>
  </si>
  <si>
    <t>모니터링</t>
  </si>
  <si>
    <t>서버 지표 확인</t>
  </si>
  <si>
    <r>
      <rPr>
        <sz val="9.5"/>
        <rFont val="맑은 고딕"/>
        <family val="2"/>
        <charset val="129"/>
      </rPr>
      <t xml:space="preserve">Grafana </t>
    </r>
    <r>
      <rPr>
        <sz val="9.5"/>
        <rFont val="Noto Sans CJK SC"/>
        <family val="2"/>
      </rPr>
      <t xml:space="preserve">에서 </t>
    </r>
    <r>
      <rPr>
        <sz val="9.5"/>
        <rFont val="맑은 고딕"/>
        <family val="2"/>
        <charset val="129"/>
      </rPr>
      <t xml:space="preserve">CPU / </t>
    </r>
    <r>
      <rPr>
        <sz val="9.5"/>
        <rFont val="Noto Sans CJK SC"/>
        <family val="2"/>
      </rPr>
      <t xml:space="preserve">메모리 </t>
    </r>
    <r>
      <rPr>
        <sz val="9.5"/>
        <rFont val="맑은 고딕"/>
        <family val="2"/>
        <charset val="129"/>
      </rPr>
      <t xml:space="preserve">/ </t>
    </r>
    <r>
      <rPr>
        <sz val="9.5"/>
        <rFont val="Noto Sans CJK SC"/>
        <family val="2"/>
      </rPr>
      <t>응답 지표 확인</t>
    </r>
  </si>
  <si>
    <t>임계치 초과 없음</t>
  </si>
  <si>
    <t>컨테이너 로그 확인</t>
  </si>
  <si>
    <r>
      <rPr>
        <sz val="9.5"/>
        <rFont val="맑은 고딕"/>
        <family val="2"/>
        <charset val="129"/>
      </rPr>
      <t xml:space="preserve">Dozzle </t>
    </r>
    <r>
      <rPr>
        <sz val="9.5"/>
        <rFont val="Noto Sans CJK SC"/>
        <family val="2"/>
      </rPr>
      <t>에서 전체 컨테이너 로그 확인</t>
    </r>
  </si>
  <si>
    <r>
      <rPr>
        <sz val="9.5"/>
        <rFont val="맑은 고딕"/>
        <family val="2"/>
        <charset val="129"/>
      </rPr>
      <t xml:space="preserve">ERROR </t>
    </r>
    <r>
      <rPr>
        <sz val="9.5"/>
        <rFont val="Noto Sans CJK SC"/>
        <family val="2"/>
      </rPr>
      <t>레벨 로그 없음</t>
    </r>
  </si>
  <si>
    <r>
      <rPr>
        <b/>
        <sz val="9.5"/>
        <rFont val="맑은 고딕"/>
        <family val="2"/>
        <charset val="129"/>
      </rPr>
      <t xml:space="preserve">DB </t>
    </r>
    <r>
      <rPr>
        <b/>
        <sz val="9.5"/>
        <rFont val="Noto Sans CJK SC"/>
        <family val="2"/>
      </rPr>
      <t>복제 상태</t>
    </r>
  </si>
  <si>
    <r>
      <rPr>
        <sz val="9.5"/>
        <rFont val="맑은 고딕"/>
        <family val="2"/>
        <charset val="129"/>
      </rPr>
      <t xml:space="preserve">Slave </t>
    </r>
    <r>
      <rPr>
        <sz val="9.5"/>
        <rFont val="Noto Sans CJK SC"/>
        <family val="2"/>
      </rPr>
      <t>복제 상태 및 지연 재확인</t>
    </r>
  </si>
  <si>
    <r>
      <rPr>
        <sz val="9.5"/>
        <rFont val="Noto Sans CJK SC"/>
        <family val="2"/>
      </rPr>
      <t xml:space="preserve">복제 정상 </t>
    </r>
    <r>
      <rPr>
        <sz val="9.5"/>
        <rFont val="맑은 고딕"/>
        <family val="2"/>
        <charset val="129"/>
      </rPr>
      <t xml:space="preserve">/ </t>
    </r>
    <r>
      <rPr>
        <sz val="9.5"/>
        <rFont val="Noto Sans CJK SC"/>
        <family val="2"/>
      </rPr>
      <t xml:space="preserve">지연 </t>
    </r>
    <r>
      <rPr>
        <sz val="9.5"/>
        <rFont val="맑은 고딕"/>
        <family val="2"/>
        <charset val="129"/>
      </rPr>
      <t>0</t>
    </r>
  </si>
  <si>
    <t>정상 항목</t>
  </si>
  <si>
    <t>배포 대상 서비스 목록 및 기동 순서</t>
  </si>
  <si>
    <r>
      <rPr>
        <sz val="9"/>
        <color rgb="FF6B7785"/>
        <rFont val="Noto Sans CJK SC"/>
        <family val="2"/>
      </rPr>
      <t>노란색 셀</t>
    </r>
    <r>
      <rPr>
        <sz val="9"/>
        <color rgb="FF6B7785"/>
        <rFont val="맑은 고딕"/>
        <family val="2"/>
        <charset val="129"/>
      </rPr>
      <t>(</t>
    </r>
    <r>
      <rPr>
        <sz val="9"/>
        <color rgb="FF6B7785"/>
        <rFont val="Noto Sans CJK SC"/>
        <family val="2"/>
      </rPr>
      <t xml:space="preserve">컨테이너명 </t>
    </r>
    <r>
      <rPr>
        <sz val="9"/>
        <color rgb="FF6B7785"/>
        <rFont val="맑은 고딕"/>
        <family val="2"/>
        <charset val="129"/>
      </rPr>
      <t xml:space="preserve">· </t>
    </r>
    <r>
      <rPr>
        <sz val="9"/>
        <color rgb="FF6B7785"/>
        <rFont val="Noto Sans CJK SC"/>
        <family val="2"/>
      </rPr>
      <t>포트</t>
    </r>
    <r>
      <rPr>
        <sz val="9"/>
        <color rgb="FF6B7785"/>
        <rFont val="맑은 고딕"/>
        <family val="2"/>
        <charset val="129"/>
      </rPr>
      <t>)</t>
    </r>
    <r>
      <rPr>
        <sz val="9"/>
        <color rgb="FF6B7785"/>
        <rFont val="Noto Sans CJK SC"/>
        <family val="2"/>
      </rPr>
      <t>은 실제 운영 환경 값으로 채워 사용하십시오</t>
    </r>
    <r>
      <rPr>
        <sz val="9"/>
        <color rgb="FF6B7785"/>
        <rFont val="맑은 고딕"/>
        <family val="2"/>
        <charset val="129"/>
      </rPr>
      <t>.</t>
    </r>
  </si>
  <si>
    <t>서비스명</t>
  </si>
  <si>
    <t>컨테이너명</t>
  </si>
  <si>
    <t>포트</t>
  </si>
  <si>
    <t>중단 순서</t>
  </si>
  <si>
    <t>기동 순서</t>
  </si>
  <si>
    <t>정상 확인 방법</t>
  </si>
  <si>
    <t>웹 프론트엔드</t>
  </si>
  <si>
    <t>로그인 서버</t>
  </si>
  <si>
    <t>로그인 페이지 정상 노출</t>
  </si>
  <si>
    <r>
      <rPr>
        <b/>
        <sz val="9.5"/>
        <rFont val="Noto Sans CJK SC"/>
        <family val="2"/>
      </rPr>
      <t xml:space="preserve">유저 사이트 </t>
    </r>
    <r>
      <rPr>
        <b/>
        <sz val="9.5"/>
        <rFont val="맑은 고딕"/>
        <family val="2"/>
        <charset val="129"/>
      </rPr>
      <t>(</t>
    </r>
    <r>
      <rPr>
        <b/>
        <sz val="9.5"/>
        <rFont val="Noto Sans CJK SC"/>
        <family val="2"/>
      </rPr>
      <t>회의록</t>
    </r>
    <r>
      <rPr>
        <b/>
        <sz val="9.5"/>
        <rFont val="맑은 고딕"/>
        <family val="2"/>
        <charset val="129"/>
      </rPr>
      <t>)</t>
    </r>
  </si>
  <si>
    <t>메인 화면 정상 노출</t>
  </si>
  <si>
    <r>
      <rPr>
        <b/>
        <sz val="9.5"/>
        <rFont val="Noto Sans CJK SC"/>
        <family val="2"/>
      </rPr>
      <t xml:space="preserve">관리 사이트 </t>
    </r>
    <r>
      <rPr>
        <b/>
        <sz val="9.5"/>
        <rFont val="맑은 고딕"/>
        <family val="2"/>
        <charset val="129"/>
      </rPr>
      <t>(BackOffice)</t>
    </r>
  </si>
  <si>
    <t>관리자 로그인 화면 정상 노출</t>
  </si>
  <si>
    <t>API Gateway</t>
  </si>
  <si>
    <r>
      <rPr>
        <b/>
        <sz val="9.5"/>
        <rFont val="맑은 고딕"/>
        <family val="2"/>
        <charset val="129"/>
      </rPr>
      <t>Web SCG (</t>
    </r>
    <r>
      <rPr>
        <b/>
        <sz val="9.5"/>
        <rFont val="Noto Sans CJK SC"/>
        <family val="2"/>
      </rPr>
      <t>웹 게이트웨이</t>
    </r>
    <r>
      <rPr>
        <b/>
        <sz val="9.5"/>
        <rFont val="맑은 고딕"/>
        <family val="2"/>
        <charset val="129"/>
      </rPr>
      <t>)</t>
    </r>
  </si>
  <si>
    <t>헬스체크 응답 확인</t>
  </si>
  <si>
    <r>
      <rPr>
        <b/>
        <sz val="9.5"/>
        <rFont val="맑은 고딕"/>
        <family val="2"/>
        <charset val="129"/>
      </rPr>
      <t>Mobile SCG (</t>
    </r>
    <r>
      <rPr>
        <b/>
        <sz val="9.5"/>
        <rFont val="Noto Sans CJK SC"/>
        <family val="2"/>
      </rPr>
      <t>앱 게이트웨이</t>
    </r>
    <r>
      <rPr>
        <b/>
        <sz val="9.5"/>
        <rFont val="맑은 고딕"/>
        <family val="2"/>
        <charset val="129"/>
      </rPr>
      <t>)</t>
    </r>
  </si>
  <si>
    <t>Consul</t>
  </si>
  <si>
    <r>
      <rPr>
        <sz val="9.5"/>
        <rFont val="맑은 고딕"/>
        <family val="2"/>
        <charset val="129"/>
      </rPr>
      <t xml:space="preserve">Consul UI </t>
    </r>
    <r>
      <rPr>
        <sz val="9.5"/>
        <rFont val="Noto Sans CJK SC"/>
        <family val="2"/>
      </rPr>
      <t>에서 서비스 목록 정상 등록 확인</t>
    </r>
  </si>
  <si>
    <t>BE Domain</t>
  </si>
  <si>
    <t>Main API Server</t>
  </si>
  <si>
    <t>Admin API Server</t>
  </si>
  <si>
    <t>External API Server</t>
  </si>
  <si>
    <t>Auth API Server</t>
  </si>
  <si>
    <t>토큰 발급 정상 확인</t>
  </si>
  <si>
    <t>Notify API Server</t>
  </si>
  <si>
    <r>
      <rPr>
        <sz val="9.5"/>
        <rFont val="Noto Sans CJK SC"/>
        <family val="2"/>
      </rPr>
      <t xml:space="preserve">알림 </t>
    </r>
    <r>
      <rPr>
        <sz val="9.5"/>
        <rFont val="맑은 고딕"/>
        <family val="2"/>
        <charset val="129"/>
      </rPr>
      <t xml:space="preserve">· </t>
    </r>
    <r>
      <rPr>
        <sz val="9.5"/>
        <rFont val="Noto Sans CJK SC"/>
        <family val="2"/>
      </rPr>
      <t>메시지 처리 정상 확인</t>
    </r>
  </si>
  <si>
    <t>MariaDB (Master)</t>
  </si>
  <si>
    <t>접속 및 쿼리 정상</t>
  </si>
  <si>
    <t>MariaDB (Slave)</t>
  </si>
  <si>
    <r>
      <rPr>
        <sz val="9.5"/>
        <rFont val="Noto Sans CJK SC"/>
        <family val="2"/>
      </rPr>
      <t xml:space="preserve">복제 상태 </t>
    </r>
    <r>
      <rPr>
        <sz val="9.5"/>
        <rFont val="맑은 고딕"/>
        <family val="2"/>
        <charset val="129"/>
      </rPr>
      <t xml:space="preserve">Yes / </t>
    </r>
    <r>
      <rPr>
        <sz val="9.5"/>
        <rFont val="Noto Sans CJK SC"/>
        <family val="2"/>
      </rPr>
      <t xml:space="preserve">지연 </t>
    </r>
    <r>
      <rPr>
        <sz val="9.5"/>
        <rFont val="맑은 고딕"/>
        <family val="2"/>
        <charset val="129"/>
      </rPr>
      <t>0</t>
    </r>
  </si>
  <si>
    <r>
      <rPr>
        <b/>
        <sz val="9.5"/>
        <rFont val="맑은 고딕"/>
        <family val="2"/>
        <charset val="129"/>
      </rPr>
      <t>MongoDB (</t>
    </r>
    <r>
      <rPr>
        <b/>
        <sz val="9.5"/>
        <rFont val="Noto Sans CJK SC"/>
        <family val="2"/>
      </rPr>
      <t>단독</t>
    </r>
    <r>
      <rPr>
        <b/>
        <sz val="9.5"/>
        <rFont val="맑은 고딕"/>
        <family val="2"/>
        <charset val="129"/>
      </rPr>
      <t>)</t>
    </r>
  </si>
  <si>
    <t>접속 및 컬렉션 조회 정상</t>
  </si>
  <si>
    <r>
      <rPr>
        <b/>
        <sz val="9.5"/>
        <rFont val="맑은 고딕"/>
        <family val="2"/>
        <charset val="129"/>
      </rPr>
      <t xml:space="preserve">iOS </t>
    </r>
    <r>
      <rPr>
        <b/>
        <sz val="9.5"/>
        <rFont val="Noto Sans CJK SC"/>
        <family val="2"/>
      </rPr>
      <t>앱</t>
    </r>
  </si>
  <si>
    <r>
      <rPr>
        <sz val="9.5"/>
        <rFont val="맑은 고딕"/>
        <family val="2"/>
        <charset val="129"/>
      </rPr>
      <t xml:space="preserve">HMP </t>
    </r>
    <r>
      <rPr>
        <sz val="9.5"/>
        <rFont val="Noto Sans CJK SC"/>
        <family val="2"/>
      </rPr>
      <t>오픈 후 강제 업데이트 정상</t>
    </r>
  </si>
  <si>
    <r>
      <rPr>
        <b/>
        <sz val="9.5"/>
        <rFont val="맑은 고딕"/>
        <family val="2"/>
        <charset val="129"/>
      </rPr>
      <t xml:space="preserve">Android </t>
    </r>
    <r>
      <rPr>
        <b/>
        <sz val="9.5"/>
        <rFont val="Noto Sans CJK SC"/>
        <family val="2"/>
      </rPr>
      <t>앱</t>
    </r>
  </si>
  <si>
    <r>
      <rPr>
        <b/>
        <sz val="9.5"/>
        <color rgb="FF21295C"/>
        <rFont val="Noto Sans CJK SC"/>
        <family val="2"/>
      </rPr>
      <t xml:space="preserve">■ 기동 </t>
    </r>
    <r>
      <rPr>
        <b/>
        <sz val="9.5"/>
        <color rgb="FF21295C"/>
        <rFont val="맑은 고딕"/>
        <family val="2"/>
        <charset val="129"/>
      </rPr>
      <t xml:space="preserve">/ </t>
    </r>
    <r>
      <rPr>
        <b/>
        <sz val="9.5"/>
        <color rgb="FF21295C"/>
        <rFont val="Noto Sans CJK SC"/>
        <family val="2"/>
      </rPr>
      <t>중단 순서 원칙</t>
    </r>
  </si>
  <si>
    <r>
      <rPr>
        <sz val="9.5"/>
        <color rgb="FF44506B"/>
        <rFont val="맑은 고딕"/>
        <family val="2"/>
        <charset val="129"/>
      </rPr>
      <t xml:space="preserve">  · </t>
    </r>
    <r>
      <rPr>
        <sz val="9.5"/>
        <color rgb="FF44506B"/>
        <rFont val="Noto Sans CJK SC"/>
        <family val="2"/>
      </rPr>
      <t xml:space="preserve">중단 </t>
    </r>
    <r>
      <rPr>
        <sz val="9.5"/>
        <color rgb="FF44506B"/>
        <rFont val="맑은 고딕"/>
        <family val="2"/>
        <charset val="129"/>
      </rPr>
      <t xml:space="preserve">: </t>
    </r>
    <r>
      <rPr>
        <sz val="9.5"/>
        <color rgb="FF44506B"/>
        <rFont val="Noto Sans CJK SC"/>
        <family val="2"/>
      </rPr>
      <t xml:space="preserve">웹 프론트엔드 → </t>
    </r>
    <r>
      <rPr>
        <sz val="9.5"/>
        <color rgb="FF44506B"/>
        <rFont val="맑은 고딕"/>
        <family val="2"/>
        <charset val="129"/>
      </rPr>
      <t xml:space="preserve">API Gateway → </t>
    </r>
    <r>
      <rPr>
        <sz val="9.5"/>
        <color rgb="FF44506B"/>
        <rFont val="Noto Sans CJK SC"/>
        <family val="2"/>
      </rPr>
      <t xml:space="preserve">백엔드 </t>
    </r>
    <r>
      <rPr>
        <sz val="9.5"/>
        <color rgb="FF44506B"/>
        <rFont val="맑은 고딕"/>
        <family val="2"/>
        <charset val="129"/>
      </rPr>
      <t xml:space="preserve">API → Consul → </t>
    </r>
    <r>
      <rPr>
        <sz val="9.5"/>
        <color rgb="FF44506B"/>
        <rFont val="Noto Sans CJK SC"/>
        <family val="2"/>
      </rPr>
      <t>데이터베이스 순으로 상위 계층부터 중단합니다</t>
    </r>
    <r>
      <rPr>
        <sz val="9.5"/>
        <color rgb="FF44506B"/>
        <rFont val="맑은 고딕"/>
        <family val="2"/>
        <charset val="129"/>
      </rPr>
      <t>.</t>
    </r>
  </si>
  <si>
    <r>
      <rPr>
        <sz val="9.5"/>
        <color rgb="FF44506B"/>
        <rFont val="맑은 고딕"/>
        <family val="2"/>
        <charset val="129"/>
      </rPr>
      <t xml:space="preserve">  · </t>
    </r>
    <r>
      <rPr>
        <sz val="9.5"/>
        <color rgb="FF44506B"/>
        <rFont val="Noto Sans CJK SC"/>
        <family val="2"/>
      </rPr>
      <t xml:space="preserve">기동 </t>
    </r>
    <r>
      <rPr>
        <sz val="9.5"/>
        <color rgb="FF44506B"/>
        <rFont val="맑은 고딕"/>
        <family val="2"/>
        <charset val="129"/>
      </rPr>
      <t xml:space="preserve">: </t>
    </r>
    <r>
      <rPr>
        <sz val="9.5"/>
        <color rgb="FF44506B"/>
        <rFont val="Noto Sans CJK SC"/>
        <family val="2"/>
      </rPr>
      <t xml:space="preserve">데이터베이스 → </t>
    </r>
    <r>
      <rPr>
        <sz val="9.5"/>
        <color rgb="FF44506B"/>
        <rFont val="맑은 고딕"/>
        <family val="2"/>
        <charset val="129"/>
      </rPr>
      <t xml:space="preserve">Consul → </t>
    </r>
    <r>
      <rPr>
        <sz val="9.5"/>
        <color rgb="FF44506B"/>
        <rFont val="Noto Sans CJK SC"/>
        <family val="2"/>
      </rPr>
      <t>인증</t>
    </r>
    <r>
      <rPr>
        <sz val="9.5"/>
        <color rgb="FF44506B"/>
        <rFont val="맑은 고딕"/>
        <family val="2"/>
        <charset val="129"/>
      </rPr>
      <t xml:space="preserve">(Auth) API → </t>
    </r>
    <r>
      <rPr>
        <sz val="9.5"/>
        <color rgb="FF44506B"/>
        <rFont val="Noto Sans CJK SC"/>
        <family val="2"/>
      </rPr>
      <t xml:space="preserve">나머지 백엔드 </t>
    </r>
    <r>
      <rPr>
        <sz val="9.5"/>
        <color rgb="FF44506B"/>
        <rFont val="맑은 고딕"/>
        <family val="2"/>
        <charset val="129"/>
      </rPr>
      <t xml:space="preserve">API → Gateway → </t>
    </r>
    <r>
      <rPr>
        <sz val="9.5"/>
        <color rgb="FF44506B"/>
        <rFont val="Noto Sans CJK SC"/>
        <family val="2"/>
      </rPr>
      <t>웹 프론트엔드 순으로 하위 계층부터 기동합니다</t>
    </r>
    <r>
      <rPr>
        <sz val="9.5"/>
        <color rgb="FF44506B"/>
        <rFont val="맑은 고딕"/>
        <family val="2"/>
        <charset val="129"/>
      </rPr>
      <t>.</t>
    </r>
  </si>
  <si>
    <r>
      <rPr>
        <sz val="9.5"/>
        <color rgb="FF44506B"/>
        <rFont val="맑은 고딕"/>
        <family val="2"/>
        <charset val="129"/>
      </rPr>
      <t xml:space="preserve">  · </t>
    </r>
    <r>
      <rPr>
        <sz val="9.5"/>
        <color rgb="FF44506B"/>
        <rFont val="Noto Sans CJK SC"/>
        <family val="2"/>
      </rPr>
      <t xml:space="preserve">모바일 앱은 서버 배포 및 웹 검증 완료 후 </t>
    </r>
    <r>
      <rPr>
        <sz val="9.5"/>
        <color rgb="FF44506B"/>
        <rFont val="맑은 고딕"/>
        <family val="2"/>
        <charset val="129"/>
      </rPr>
      <t xml:space="preserve">HMP </t>
    </r>
    <r>
      <rPr>
        <sz val="9.5"/>
        <color rgb="FF44506B"/>
        <rFont val="Noto Sans CJK SC"/>
        <family val="2"/>
      </rPr>
      <t>오픈으로 배포합니다</t>
    </r>
    <r>
      <rPr>
        <sz val="9.5"/>
        <color rgb="FF44506B"/>
        <rFont val="맑은 고딕"/>
        <family val="2"/>
        <charset val="129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</si>
</sst>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yyyy\-mm\-dd"/>
  </numFmts>
  <fonts count="26">
    <font>
      <sz val="11"/>
      <color theme="1"/>
      <name val="Calibri"/>
      <family val="2"/>
      <charset val="1"/>
    </font>
    <font>
      <b/>
      <sz val="15"/>
      <color rgb="FF21295C"/>
      <name val="맑은 고딕"/>
      <charset val="129"/>
    </font>
    <font>
      <b/>
      <sz val="15"/>
      <color rgb="FF21295C"/>
      <name val="Noto Sans CJK SC"/>
      <family val="2"/>
    </font>
    <font>
      <sz val="9"/>
      <color rgb="FF6B7785"/>
      <name val="Noto Sans CJK SC"/>
      <family val="2"/>
    </font>
    <font>
      <sz val="9"/>
      <color rgb="FF6B7785"/>
      <name val="맑은 고딕"/>
      <family val="2"/>
      <charset val="129"/>
    </font>
    <font>
      <b/>
      <sz val="10"/>
      <color rgb="FF065A82"/>
      <name val="Noto Sans CJK SC"/>
      <family val="2"/>
    </font>
    <font>
      <b/>
      <sz val="10"/>
      <color rgb="FF065A82"/>
      <name val="맑은 고딕"/>
      <family val="2"/>
      <charset val="129"/>
    </font>
    <font>
      <sz val="10"/>
      <color rgb="FF44506B"/>
      <name val="맑은 고딕"/>
      <family val="2"/>
      <charset val="129"/>
    </font>
    <font>
      <sz val="10"/>
      <color rgb="FF44506B"/>
      <name val="Noto Sans CJK SC"/>
      <family val="2"/>
    </font>
    <font>
      <b/>
      <sz val="10"/>
      <color rgb="FF0000FF"/>
      <name val="맑은 고딕"/>
      <family val="2"/>
      <charset val="129"/>
    </font>
    <font>
      <b/>
      <sz val="10"/>
      <color rgb="FFFFFFFF"/>
      <name val="맑은 고딕"/>
      <family val="2"/>
      <charset val="129"/>
    </font>
    <font>
      <b/>
      <sz val="10"/>
      <color rgb="FFFFFFFF"/>
      <name val="Noto Sans CJK SC"/>
      <family val="2"/>
    </font>
    <font>
      <sz val="9.5"/>
      <name val="맑은 고딕"/>
      <family val="2"/>
      <charset val="129"/>
    </font>
    <font>
      <b/>
      <sz val="9.5"/>
      <name val="Noto Sans CJK SC"/>
      <family val="2"/>
    </font>
    <font>
      <sz val="9.5"/>
      <name val="Noto Sans CJK SC"/>
      <family val="2"/>
    </font>
    <font>
      <b/>
      <sz val="9.5"/>
      <name val="맑은 고딕"/>
      <family val="2"/>
      <charset val="129"/>
    </font>
    <font>
      <b/>
      <sz val="10"/>
      <color rgb="FF21295C"/>
      <name val="맑은 고딕"/>
      <family val="2"/>
      <charset val="129"/>
    </font>
    <font>
      <b/>
      <sz val="10"/>
      <color rgb="FF21295C"/>
      <name val="Noto Sans CJK SC"/>
      <family val="2"/>
    </font>
    <font>
      <b/>
      <sz val="9.5"/>
      <color rgb="FF21295C"/>
      <name val="Noto Sans CJK SC"/>
      <family val="2"/>
    </font>
    <font>
      <sz val="9.5"/>
      <color rgb="FF44506B"/>
      <name val="맑은 고딕"/>
      <family val="2"/>
      <charset val="129"/>
    </font>
    <font>
      <sz val="9.5"/>
      <color rgb="FF44506B"/>
      <name val="Noto Sans CJK SC"/>
      <family val="2"/>
    </font>
    <font>
      <b/>
      <sz val="10"/>
      <color rgb="FFE08700"/>
      <name val="Noto Sans CJK SC"/>
      <family val="2"/>
    </font>
    <font>
      <b/>
      <sz val="10"/>
      <color rgb="FFE08700"/>
      <name val="맑은 고딕"/>
      <family val="2"/>
      <charset val="129"/>
    </font>
    <font>
      <b/>
      <sz val="9.5"/>
      <color rgb="FF21295C"/>
      <name val="맑은 고딕"/>
      <family val="2"/>
      <charset val="129"/>
    </font>
    <font>
      <b/>
      <sz val="15"/>
      <color rgb="FF21295C"/>
      <name val="맑은 고딕"/>
      <family val="2"/>
      <charset val="129"/>
    </font>
    <font>
      <sz val="8"/>
      <name val="굴림"/>
      <family val="2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DF6EA"/>
      </patternFill>
    </fill>
    <fill>
      <patternFill patternType="solid">
        <fgColor rgb="FF21295C"/>
        <bgColor rgb="FF003366"/>
      </patternFill>
    </fill>
    <fill>
      <patternFill patternType="solid">
        <fgColor rgb="FF1C7293"/>
        <bgColor rgb="FF008080"/>
      </patternFill>
    </fill>
    <fill>
      <patternFill patternType="solid">
        <fgColor rgb="FF065A82"/>
        <bgColor rgb="FF1C7293"/>
      </patternFill>
    </fill>
    <fill>
      <patternFill patternType="solid">
        <fgColor rgb="FFEAF2F7"/>
        <bgColor rgb="FFF7FAFC"/>
      </patternFill>
    </fill>
    <fill>
      <patternFill patternType="solid">
        <fgColor rgb="FFF7FAFC"/>
        <bgColor rgb="FFFFFFFF"/>
      </patternFill>
    </fill>
    <fill>
      <patternFill patternType="solid">
        <fgColor rgb="FFE08700"/>
        <bgColor rgb="FFFF6600"/>
      </patternFill>
    </fill>
    <fill>
      <patternFill patternType="solid">
        <fgColor rgb="FFFDF6EA"/>
        <bgColor rgb="FFF7FAFC"/>
      </patternFill>
    </fill>
  </fills>
  <borders count="2">
    <border>
      <left/>
      <right/>
      <top/>
      <bottom/>
      <diagonal/>
    </border>
    <border>
      <left style="thin">
        <color rgb="FFD5DDE4"/>
      </left>
      <right style="thin">
        <color rgb="FFD5DDE4"/>
      </right>
      <top style="thin">
        <color rgb="FFD5DDE4"/>
      </top>
      <bottom style="thin">
        <color rgb="FFD5DDE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9" fillId="0" borderId="0" xfId="0" applyFont="1"/>
    <xf numFmtId="0" fontId="20" fillId="0" borderId="0" xfId="0" applyFont="1"/>
    <xf numFmtId="0" fontId="2" fillId="0" borderId="0" xfId="0" applyFont="1" applyAlignment="1">
      <alignment horizontal="left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76" fontId="9" fillId="2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176" fontId="12" fillId="2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176" fontId="16" fillId="6" borderId="1" xfId="0" applyNumberFormat="1" applyFont="1" applyFill="1" applyBorder="1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11" fillId="5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left" vertical="center" wrapText="1"/>
    </xf>
    <xf numFmtId="177" fontId="12" fillId="7" borderId="1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7" fillId="0" borderId="0" xfId="0" applyFont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21" fillId="0" borderId="0" xfId="0" applyFont="1"/>
    <xf numFmtId="0" fontId="10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22" fillId="9" borderId="1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5">
    <dxf>
      <font>
        <b/>
        <sz val="9"/>
        <color rgb="FF9C0006"/>
        <name val="맑은 고딕"/>
        <charset val="1"/>
      </font>
      <fill>
        <patternFill>
          <bgColor rgb="FFFFC7CE"/>
        </patternFill>
      </fill>
    </dxf>
    <dxf>
      <font>
        <sz val="9"/>
        <color rgb="FF006100"/>
        <name val="맑은 고딕"/>
        <charset val="1"/>
      </font>
      <fill>
        <patternFill>
          <bgColor rgb="FFC6EFCE"/>
        </patternFill>
      </fill>
    </dxf>
    <dxf>
      <font>
        <sz val="9"/>
        <color rgb="FF006100"/>
        <name val="맑은 고딕"/>
        <charset val="1"/>
      </font>
      <fill>
        <patternFill>
          <bgColor rgb="FFC6EFCE"/>
        </patternFill>
      </fill>
    </dxf>
    <dxf>
      <font>
        <b/>
        <sz val="9"/>
        <color rgb="FF9C0006"/>
        <name val="맑은 고딕"/>
        <charset val="1"/>
      </font>
      <fill>
        <patternFill>
          <bgColor rgb="FFFFC7CE"/>
        </patternFill>
      </fill>
    </dxf>
    <dxf>
      <font>
        <sz val="9"/>
        <color rgb="FF006100"/>
        <name val="맑은 고딕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1C7293"/>
      <rgbColor rgb="FFC0C0C0"/>
      <rgbColor rgb="FF6B7785"/>
      <rgbColor rgb="FF9999FF"/>
      <rgbColor rgb="FF993366"/>
      <rgbColor rgb="FFFFF2CC"/>
      <rgbColor rgb="FFEAF2F7"/>
      <rgbColor rgb="FF660066"/>
      <rgbColor rgb="FFFF8080"/>
      <rgbColor rgb="FF065A82"/>
      <rgbColor rgb="FFD5DD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AFC"/>
      <rgbColor rgb="FFC6EFCE"/>
      <rgbColor rgb="FFFDF6EA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E087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44506B"/>
      <rgbColor rgb="FF21295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7"/>
  <sheetViews>
    <sheetView showGridLines="0" zoomScaleNormal="100" workbookViewId="0">
      <pane ySplit="7" topLeftCell="A8" activePane="bottomLeft" state="frozen"/>
      <selection pane="bottomLeft" sqref="A1:L1"/>
    </sheetView>
  </sheetViews>
  <sheetFormatPr baseColWidth="10" defaultColWidth="8.6640625" defaultRowHeight="15"/>
  <cols>
    <col min="1" max="1" width="5" customWidth="1"/>
    <col min="2" max="2" width="18" customWidth="1"/>
    <col min="3" max="3" width="26" customWidth="1"/>
    <col min="4" max="4" width="46" customWidth="1"/>
    <col min="5" max="5" width="8" customWidth="1"/>
    <col min="6" max="6" width="10" customWidth="1"/>
    <col min="7" max="7" width="8" customWidth="1"/>
    <col min="8" max="8" width="10" customWidth="1"/>
    <col min="9" max="9" width="18" customWidth="1"/>
    <col min="10" max="10" width="7" customWidth="1"/>
    <col min="11" max="11" width="11" customWidth="1"/>
    <col min="12" max="12" width="20" customWidth="1"/>
  </cols>
  <sheetData>
    <row r="1" spans="1:12" ht="25.5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8" customHeigh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spans="1:12">
      <c r="A4" s="6" t="s">
        <v>2</v>
      </c>
      <c r="B4" s="6"/>
      <c r="C4" s="9" t="s">
        <v>3</v>
      </c>
      <c r="D4" s="10" t="s">
        <v>4</v>
      </c>
    </row>
    <row r="5" spans="1:12">
      <c r="A5" s="6" t="s">
        <v>5</v>
      </c>
      <c r="B5" s="6"/>
      <c r="C5" s="11">
        <v>0.47916666666666702</v>
      </c>
      <c r="D5" s="10" t="s">
        <v>6</v>
      </c>
    </row>
    <row r="7" spans="1:12" ht="30" customHeight="1">
      <c r="A7" s="12" t="s">
        <v>7</v>
      </c>
      <c r="B7" s="13" t="s">
        <v>8</v>
      </c>
      <c r="C7" s="13" t="s">
        <v>9</v>
      </c>
      <c r="D7" s="13" t="s">
        <v>10</v>
      </c>
      <c r="E7" s="13" t="s">
        <v>11</v>
      </c>
      <c r="F7" s="13" t="s">
        <v>12</v>
      </c>
      <c r="G7" s="13" t="s">
        <v>13</v>
      </c>
      <c r="H7" s="13" t="s">
        <v>14</v>
      </c>
      <c r="I7" s="13" t="s">
        <v>15</v>
      </c>
      <c r="J7" s="13" t="s">
        <v>16</v>
      </c>
      <c r="K7" s="13" t="s">
        <v>17</v>
      </c>
      <c r="L7" s="13" t="s">
        <v>18</v>
      </c>
    </row>
    <row r="8" spans="1:12" ht="29.75" customHeight="1">
      <c r="A8" s="14" t="s">
        <v>19</v>
      </c>
      <c r="B8" s="5" t="s">
        <v>20</v>
      </c>
      <c r="C8" s="16" t="s">
        <v>21</v>
      </c>
      <c r="D8" s="17" t="s">
        <v>22</v>
      </c>
      <c r="E8" s="18" t="s">
        <v>23</v>
      </c>
      <c r="F8" s="19">
        <f>$C$5</f>
        <v>0.47916666666666702</v>
      </c>
      <c r="G8" s="14">
        <v>5</v>
      </c>
      <c r="H8" s="19">
        <f t="shared" ref="H8:H45" si="0">F8+G8/1440</f>
        <v>0.48263888888888923</v>
      </c>
      <c r="I8" s="14" t="s">
        <v>24</v>
      </c>
      <c r="J8" s="20"/>
      <c r="K8" s="21"/>
      <c r="L8" s="22"/>
    </row>
    <row r="9" spans="1:12" ht="32">
      <c r="A9" s="14" t="s">
        <v>25</v>
      </c>
      <c r="B9" s="5"/>
      <c r="C9" s="16" t="s">
        <v>26</v>
      </c>
      <c r="D9" s="17" t="s">
        <v>27</v>
      </c>
      <c r="E9" s="18" t="s">
        <v>28</v>
      </c>
      <c r="F9" s="19">
        <f t="shared" ref="F9:F45" si="1">H8</f>
        <v>0.48263888888888923</v>
      </c>
      <c r="G9" s="14">
        <v>5</v>
      </c>
      <c r="H9" s="19">
        <f t="shared" si="0"/>
        <v>0.48611111111111144</v>
      </c>
      <c r="I9" s="14" t="s">
        <v>24</v>
      </c>
      <c r="J9" s="20"/>
      <c r="K9" s="21"/>
      <c r="L9" s="22"/>
    </row>
    <row r="10" spans="1:12" ht="32">
      <c r="A10" s="14" t="s">
        <v>29</v>
      </c>
      <c r="B10" s="5"/>
      <c r="C10" s="16" t="s">
        <v>30</v>
      </c>
      <c r="D10" s="17" t="s">
        <v>31</v>
      </c>
      <c r="E10" s="18" t="s">
        <v>28</v>
      </c>
      <c r="F10" s="19">
        <f t="shared" si="1"/>
        <v>0.48611111111111144</v>
      </c>
      <c r="G10" s="14">
        <v>10</v>
      </c>
      <c r="H10" s="19">
        <f t="shared" si="0"/>
        <v>0.49305555555555586</v>
      </c>
      <c r="I10" s="14" t="s">
        <v>25</v>
      </c>
      <c r="J10" s="20"/>
      <c r="K10" s="21"/>
      <c r="L10" s="22"/>
    </row>
    <row r="11" spans="1:12" ht="16">
      <c r="A11" s="14" t="s">
        <v>32</v>
      </c>
      <c r="B11" s="5"/>
      <c r="C11" s="16" t="s">
        <v>33</v>
      </c>
      <c r="D11" s="17" t="s">
        <v>34</v>
      </c>
      <c r="E11" s="18" t="s">
        <v>28</v>
      </c>
      <c r="F11" s="19">
        <f t="shared" si="1"/>
        <v>0.49305555555555586</v>
      </c>
      <c r="G11" s="14">
        <v>5</v>
      </c>
      <c r="H11" s="19">
        <f t="shared" si="0"/>
        <v>0.49652777777777807</v>
      </c>
      <c r="I11" s="14" t="s">
        <v>24</v>
      </c>
      <c r="J11" s="20"/>
      <c r="K11" s="21"/>
      <c r="L11" s="22"/>
    </row>
    <row r="12" spans="1:12" ht="16">
      <c r="A12" s="14" t="s">
        <v>35</v>
      </c>
      <c r="B12" s="5"/>
      <c r="C12" s="16" t="s">
        <v>36</v>
      </c>
      <c r="D12" s="17" t="s">
        <v>37</v>
      </c>
      <c r="E12" s="18" t="s">
        <v>23</v>
      </c>
      <c r="F12" s="19">
        <f t="shared" si="1"/>
        <v>0.49652777777777807</v>
      </c>
      <c r="G12" s="14">
        <v>5</v>
      </c>
      <c r="H12" s="19">
        <f t="shared" si="0"/>
        <v>0.50000000000000033</v>
      </c>
      <c r="I12" s="14" t="s">
        <v>19</v>
      </c>
      <c r="J12" s="20"/>
      <c r="K12" s="21"/>
      <c r="L12" s="22"/>
    </row>
    <row r="13" spans="1:12" ht="30">
      <c r="A13" s="14" t="s">
        <v>38</v>
      </c>
      <c r="B13" s="5"/>
      <c r="C13" s="16" t="s">
        <v>39</v>
      </c>
      <c r="D13" s="23" t="s">
        <v>40</v>
      </c>
      <c r="E13" s="18" t="s">
        <v>28</v>
      </c>
      <c r="F13" s="19">
        <f t="shared" si="1"/>
        <v>0.50000000000000033</v>
      </c>
      <c r="G13" s="14">
        <v>0</v>
      </c>
      <c r="H13" s="19">
        <f t="shared" si="0"/>
        <v>0.50000000000000033</v>
      </c>
      <c r="I13" s="14" t="s">
        <v>35</v>
      </c>
      <c r="J13" s="20"/>
      <c r="K13" s="21"/>
      <c r="L13" s="22"/>
    </row>
    <row r="14" spans="1:12" ht="29.75" customHeight="1">
      <c r="A14" s="14" t="s">
        <v>41</v>
      </c>
      <c r="B14" s="5" t="s">
        <v>42</v>
      </c>
      <c r="C14" s="16" t="s">
        <v>43</v>
      </c>
      <c r="D14" s="17" t="s">
        <v>44</v>
      </c>
      <c r="E14" s="18" t="s">
        <v>28</v>
      </c>
      <c r="F14" s="19">
        <f t="shared" si="1"/>
        <v>0.50000000000000033</v>
      </c>
      <c r="G14" s="14">
        <v>5</v>
      </c>
      <c r="H14" s="19">
        <f t="shared" si="0"/>
        <v>0.50347222222222254</v>
      </c>
      <c r="I14" s="14" t="s">
        <v>35</v>
      </c>
      <c r="J14" s="20"/>
      <c r="K14" s="21"/>
      <c r="L14" s="22"/>
    </row>
    <row r="15" spans="1:12" ht="32">
      <c r="A15" s="14" t="s">
        <v>45</v>
      </c>
      <c r="B15" s="5"/>
      <c r="C15" s="16" t="s">
        <v>46</v>
      </c>
      <c r="D15" s="17" t="s">
        <v>47</v>
      </c>
      <c r="E15" s="18" t="s">
        <v>28</v>
      </c>
      <c r="F15" s="19">
        <f t="shared" si="1"/>
        <v>0.50347222222222254</v>
      </c>
      <c r="G15" s="14">
        <v>3</v>
      </c>
      <c r="H15" s="19">
        <f t="shared" si="0"/>
        <v>0.50555555555555587</v>
      </c>
      <c r="I15" s="14" t="s">
        <v>41</v>
      </c>
      <c r="J15" s="20"/>
      <c r="K15" s="21"/>
      <c r="L15" s="22"/>
    </row>
    <row r="16" spans="1:12" ht="32">
      <c r="A16" s="14" t="s">
        <v>48</v>
      </c>
      <c r="B16" s="5"/>
      <c r="C16" s="16" t="s">
        <v>49</v>
      </c>
      <c r="D16" s="23" t="s">
        <v>50</v>
      </c>
      <c r="E16" s="18" t="s">
        <v>28</v>
      </c>
      <c r="F16" s="19">
        <f t="shared" si="1"/>
        <v>0.50555555555555587</v>
      </c>
      <c r="G16" s="14">
        <v>5</v>
      </c>
      <c r="H16" s="19">
        <f t="shared" si="0"/>
        <v>0.50902777777777808</v>
      </c>
      <c r="I16" s="14" t="s">
        <v>45</v>
      </c>
      <c r="J16" s="20"/>
      <c r="K16" s="21"/>
      <c r="L16" s="22"/>
    </row>
    <row r="17" spans="1:12" ht="48">
      <c r="A17" s="14" t="s">
        <v>51</v>
      </c>
      <c r="B17" s="5"/>
      <c r="C17" s="24" t="s">
        <v>52</v>
      </c>
      <c r="D17" s="23" t="s">
        <v>53</v>
      </c>
      <c r="E17" s="18" t="s">
        <v>28</v>
      </c>
      <c r="F17" s="19">
        <f t="shared" si="1"/>
        <v>0.50902777777777808</v>
      </c>
      <c r="G17" s="14">
        <v>2</v>
      </c>
      <c r="H17" s="19">
        <f t="shared" si="0"/>
        <v>0.51041666666666696</v>
      </c>
      <c r="I17" s="14" t="s">
        <v>48</v>
      </c>
      <c r="J17" s="20"/>
      <c r="K17" s="21"/>
      <c r="L17" s="22"/>
    </row>
    <row r="18" spans="1:12" ht="29.75" customHeight="1">
      <c r="A18" s="14" t="s">
        <v>54</v>
      </c>
      <c r="B18" s="5" t="s">
        <v>55</v>
      </c>
      <c r="C18" s="24" t="s">
        <v>56</v>
      </c>
      <c r="D18" s="17" t="s">
        <v>57</v>
      </c>
      <c r="E18" s="18" t="s">
        <v>28</v>
      </c>
      <c r="F18" s="19">
        <f t="shared" si="1"/>
        <v>0.51041666666666696</v>
      </c>
      <c r="G18" s="14">
        <v>75</v>
      </c>
      <c r="H18" s="19">
        <f t="shared" si="0"/>
        <v>0.56250000000000033</v>
      </c>
      <c r="I18" s="14" t="s">
        <v>51</v>
      </c>
      <c r="J18" s="20"/>
      <c r="K18" s="21"/>
      <c r="L18" s="22"/>
    </row>
    <row r="19" spans="1:12" ht="30">
      <c r="A19" s="14" t="s">
        <v>58</v>
      </c>
      <c r="B19" s="5"/>
      <c r="C19" s="16" t="s">
        <v>59</v>
      </c>
      <c r="D19" s="17" t="s">
        <v>60</v>
      </c>
      <c r="E19" s="18" t="s">
        <v>28</v>
      </c>
      <c r="F19" s="19">
        <f t="shared" si="1"/>
        <v>0.56250000000000033</v>
      </c>
      <c r="G19" s="14">
        <v>5</v>
      </c>
      <c r="H19" s="19">
        <f t="shared" si="0"/>
        <v>0.56597222222222254</v>
      </c>
      <c r="I19" s="14" t="s">
        <v>54</v>
      </c>
      <c r="J19" s="20"/>
      <c r="K19" s="21"/>
      <c r="L19" s="22"/>
    </row>
    <row r="20" spans="1:12" ht="16">
      <c r="A20" s="14" t="s">
        <v>61</v>
      </c>
      <c r="B20" s="5"/>
      <c r="C20" s="24" t="s">
        <v>62</v>
      </c>
      <c r="D20" s="17" t="s">
        <v>63</v>
      </c>
      <c r="E20" s="18" t="s">
        <v>28</v>
      </c>
      <c r="F20" s="19">
        <f t="shared" si="1"/>
        <v>0.56597222222222254</v>
      </c>
      <c r="G20" s="14">
        <v>3</v>
      </c>
      <c r="H20" s="19">
        <f t="shared" si="0"/>
        <v>0.56805555555555587</v>
      </c>
      <c r="I20" s="14" t="s">
        <v>58</v>
      </c>
      <c r="J20" s="20"/>
      <c r="K20" s="21"/>
      <c r="L20" s="22"/>
    </row>
    <row r="21" spans="1:12" ht="32">
      <c r="A21" s="14" t="s">
        <v>64</v>
      </c>
      <c r="B21" s="5"/>
      <c r="C21" s="24" t="s">
        <v>65</v>
      </c>
      <c r="D21" s="17" t="s">
        <v>66</v>
      </c>
      <c r="E21" s="18" t="s">
        <v>28</v>
      </c>
      <c r="F21" s="19">
        <f t="shared" si="1"/>
        <v>0.56805555555555587</v>
      </c>
      <c r="G21" s="14">
        <v>7</v>
      </c>
      <c r="H21" s="19">
        <f t="shared" si="0"/>
        <v>0.57291666666666696</v>
      </c>
      <c r="I21" s="14" t="s">
        <v>61</v>
      </c>
      <c r="J21" s="20"/>
      <c r="K21" s="21"/>
      <c r="L21" s="22"/>
    </row>
    <row r="22" spans="1:12" ht="29.75" customHeight="1">
      <c r="A22" s="14" t="s">
        <v>67</v>
      </c>
      <c r="B22" s="5" t="s">
        <v>68</v>
      </c>
      <c r="C22" s="24" t="s">
        <v>69</v>
      </c>
      <c r="D22" s="23" t="s">
        <v>70</v>
      </c>
      <c r="E22" s="18" t="s">
        <v>28</v>
      </c>
      <c r="F22" s="19">
        <f t="shared" si="1"/>
        <v>0.57291666666666696</v>
      </c>
      <c r="G22" s="14">
        <v>15</v>
      </c>
      <c r="H22" s="19">
        <f t="shared" si="0"/>
        <v>0.58333333333333359</v>
      </c>
      <c r="I22" s="14" t="s">
        <v>58</v>
      </c>
      <c r="J22" s="20"/>
      <c r="K22" s="21"/>
      <c r="L22" s="22"/>
    </row>
    <row r="23" spans="1:12" ht="30">
      <c r="A23" s="14" t="s">
        <v>71</v>
      </c>
      <c r="B23" s="5"/>
      <c r="C23" s="16" t="s">
        <v>72</v>
      </c>
      <c r="D23" s="17" t="s">
        <v>73</v>
      </c>
      <c r="E23" s="18" t="s">
        <v>28</v>
      </c>
      <c r="F23" s="19">
        <f t="shared" si="1"/>
        <v>0.58333333333333359</v>
      </c>
      <c r="G23" s="14">
        <v>10</v>
      </c>
      <c r="H23" s="19">
        <f t="shared" si="0"/>
        <v>0.59027777777777801</v>
      </c>
      <c r="I23" s="14" t="s">
        <v>67</v>
      </c>
      <c r="J23" s="20"/>
      <c r="K23" s="21"/>
      <c r="L23" s="22"/>
    </row>
    <row r="24" spans="1:12" ht="16">
      <c r="A24" s="14" t="s">
        <v>74</v>
      </c>
      <c r="B24" s="5"/>
      <c r="C24" s="24" t="s">
        <v>75</v>
      </c>
      <c r="D24" s="23" t="s">
        <v>76</v>
      </c>
      <c r="E24" s="18" t="s">
        <v>28</v>
      </c>
      <c r="F24" s="19">
        <f t="shared" si="1"/>
        <v>0.59027777777777801</v>
      </c>
      <c r="G24" s="14">
        <v>5</v>
      </c>
      <c r="H24" s="19">
        <f t="shared" si="0"/>
        <v>0.59375000000000022</v>
      </c>
      <c r="I24" s="14" t="s">
        <v>64</v>
      </c>
      <c r="J24" s="20"/>
      <c r="K24" s="21"/>
      <c r="L24" s="22"/>
    </row>
    <row r="25" spans="1:12" ht="29.75" customHeight="1">
      <c r="A25" s="14" t="s">
        <v>77</v>
      </c>
      <c r="B25" s="4" t="s">
        <v>78</v>
      </c>
      <c r="C25" s="16" t="s">
        <v>79</v>
      </c>
      <c r="D25" s="17" t="s">
        <v>80</v>
      </c>
      <c r="E25" s="18" t="s">
        <v>28</v>
      </c>
      <c r="F25" s="19">
        <f t="shared" si="1"/>
        <v>0.59375000000000022</v>
      </c>
      <c r="G25" s="14">
        <v>10</v>
      </c>
      <c r="H25" s="19">
        <f t="shared" si="0"/>
        <v>0.60069444444444464</v>
      </c>
      <c r="I25" s="14" t="s">
        <v>71</v>
      </c>
      <c r="J25" s="20"/>
      <c r="K25" s="21"/>
      <c r="L25" s="22"/>
    </row>
    <row r="26" spans="1:12" ht="16">
      <c r="A26" s="14" t="s">
        <v>81</v>
      </c>
      <c r="B26" s="4"/>
      <c r="C26" s="16" t="s">
        <v>82</v>
      </c>
      <c r="D26" s="17" t="s">
        <v>83</v>
      </c>
      <c r="E26" s="18" t="s">
        <v>28</v>
      </c>
      <c r="F26" s="19">
        <f t="shared" si="1"/>
        <v>0.60069444444444464</v>
      </c>
      <c r="G26" s="14">
        <v>5</v>
      </c>
      <c r="H26" s="19">
        <f t="shared" si="0"/>
        <v>0.60416666666666685</v>
      </c>
      <c r="I26" s="14" t="s">
        <v>77</v>
      </c>
      <c r="J26" s="20"/>
      <c r="K26" s="21"/>
      <c r="L26" s="22"/>
    </row>
    <row r="27" spans="1:12" ht="32">
      <c r="A27" s="14" t="s">
        <v>84</v>
      </c>
      <c r="B27" s="4"/>
      <c r="C27" s="24" t="s">
        <v>85</v>
      </c>
      <c r="D27" s="23" t="s">
        <v>86</v>
      </c>
      <c r="E27" s="18" t="s">
        <v>28</v>
      </c>
      <c r="F27" s="19">
        <f t="shared" si="1"/>
        <v>0.60416666666666685</v>
      </c>
      <c r="G27" s="14">
        <v>15</v>
      </c>
      <c r="H27" s="19">
        <f t="shared" si="0"/>
        <v>0.61458333333333348</v>
      </c>
      <c r="I27" s="14" t="s">
        <v>81</v>
      </c>
      <c r="J27" s="20"/>
      <c r="K27" s="21"/>
      <c r="L27" s="22"/>
    </row>
    <row r="28" spans="1:12" ht="16">
      <c r="A28" s="14" t="s">
        <v>87</v>
      </c>
      <c r="B28" s="4"/>
      <c r="C28" s="16" t="s">
        <v>88</v>
      </c>
      <c r="D28" s="23" t="s">
        <v>89</v>
      </c>
      <c r="E28" s="18" t="s">
        <v>28</v>
      </c>
      <c r="F28" s="19">
        <f t="shared" si="1"/>
        <v>0.61458333333333348</v>
      </c>
      <c r="G28" s="14">
        <v>5</v>
      </c>
      <c r="H28" s="19">
        <f t="shared" si="0"/>
        <v>0.61805555555555569</v>
      </c>
      <c r="I28" s="14" t="s">
        <v>84</v>
      </c>
      <c r="J28" s="20"/>
      <c r="K28" s="21"/>
      <c r="L28" s="22"/>
    </row>
    <row r="29" spans="1:12" ht="30">
      <c r="A29" s="14" t="s">
        <v>90</v>
      </c>
      <c r="B29" s="4"/>
      <c r="C29" s="16" t="s">
        <v>91</v>
      </c>
      <c r="D29" s="17" t="s">
        <v>92</v>
      </c>
      <c r="E29" s="18" t="s">
        <v>28</v>
      </c>
      <c r="F29" s="19">
        <f t="shared" si="1"/>
        <v>0.61805555555555569</v>
      </c>
      <c r="G29" s="14">
        <v>5</v>
      </c>
      <c r="H29" s="19">
        <f t="shared" si="0"/>
        <v>0.6215277777777779</v>
      </c>
      <c r="I29" s="14" t="s">
        <v>87</v>
      </c>
      <c r="J29" s="20"/>
      <c r="K29" s="21"/>
      <c r="L29" s="22"/>
    </row>
    <row r="30" spans="1:12" ht="32">
      <c r="A30" s="14" t="s">
        <v>93</v>
      </c>
      <c r="B30" s="4"/>
      <c r="C30" s="16" t="s">
        <v>94</v>
      </c>
      <c r="D30" s="17" t="s">
        <v>95</v>
      </c>
      <c r="E30" s="18" t="s">
        <v>28</v>
      </c>
      <c r="F30" s="19">
        <f t="shared" si="1"/>
        <v>0.6215277777777779</v>
      </c>
      <c r="G30" s="14">
        <v>5</v>
      </c>
      <c r="H30" s="19">
        <f t="shared" si="0"/>
        <v>0.62500000000000011</v>
      </c>
      <c r="I30" s="14" t="s">
        <v>90</v>
      </c>
      <c r="J30" s="20"/>
      <c r="K30" s="21"/>
      <c r="L30" s="22"/>
    </row>
    <row r="31" spans="1:12" ht="32">
      <c r="A31" s="14" t="s">
        <v>96</v>
      </c>
      <c r="B31" s="4"/>
      <c r="C31" s="24" t="s">
        <v>97</v>
      </c>
      <c r="D31" s="23" t="s">
        <v>98</v>
      </c>
      <c r="E31" s="18" t="s">
        <v>28</v>
      </c>
      <c r="F31" s="19">
        <f t="shared" si="1"/>
        <v>0.62500000000000011</v>
      </c>
      <c r="G31" s="14">
        <v>0</v>
      </c>
      <c r="H31" s="19">
        <f t="shared" si="0"/>
        <v>0.62500000000000011</v>
      </c>
      <c r="I31" s="14" t="s">
        <v>93</v>
      </c>
      <c r="J31" s="20"/>
      <c r="K31" s="21"/>
      <c r="L31" s="22"/>
    </row>
    <row r="32" spans="1:12" ht="15" customHeight="1">
      <c r="A32" s="14" t="s">
        <v>99</v>
      </c>
      <c r="B32" s="5" t="s">
        <v>100</v>
      </c>
      <c r="C32" s="16" t="s">
        <v>101</v>
      </c>
      <c r="D32" s="23" t="s">
        <v>102</v>
      </c>
      <c r="E32" s="18" t="s">
        <v>28</v>
      </c>
      <c r="F32" s="19">
        <f t="shared" si="1"/>
        <v>0.62500000000000011</v>
      </c>
      <c r="G32" s="14">
        <v>5</v>
      </c>
      <c r="H32" s="19">
        <f t="shared" si="0"/>
        <v>0.62847222222222232</v>
      </c>
      <c r="I32" s="14" t="s">
        <v>93</v>
      </c>
      <c r="J32" s="20"/>
      <c r="K32" s="21"/>
      <c r="L32" s="22"/>
    </row>
    <row r="33" spans="1:12" ht="16">
      <c r="A33" s="14" t="s">
        <v>103</v>
      </c>
      <c r="B33" s="5"/>
      <c r="C33" s="16" t="s">
        <v>104</v>
      </c>
      <c r="D33" s="23" t="s">
        <v>105</v>
      </c>
      <c r="E33" s="18" t="s">
        <v>28</v>
      </c>
      <c r="F33" s="19">
        <f t="shared" si="1"/>
        <v>0.62847222222222232</v>
      </c>
      <c r="G33" s="14">
        <v>5</v>
      </c>
      <c r="H33" s="19">
        <f t="shared" si="0"/>
        <v>0.63194444444444453</v>
      </c>
      <c r="I33" s="14" t="s">
        <v>99</v>
      </c>
      <c r="J33" s="20"/>
      <c r="K33" s="21"/>
      <c r="L33" s="22"/>
    </row>
    <row r="34" spans="1:12" ht="32">
      <c r="A34" s="14" t="s">
        <v>106</v>
      </c>
      <c r="B34" s="5"/>
      <c r="C34" s="16" t="s">
        <v>107</v>
      </c>
      <c r="D34" s="23" t="s">
        <v>108</v>
      </c>
      <c r="E34" s="18" t="s">
        <v>28</v>
      </c>
      <c r="F34" s="19">
        <f t="shared" si="1"/>
        <v>0.63194444444444453</v>
      </c>
      <c r="G34" s="14">
        <v>5</v>
      </c>
      <c r="H34" s="19">
        <f t="shared" si="0"/>
        <v>0.63541666666666674</v>
      </c>
      <c r="I34" s="14" t="s">
        <v>103</v>
      </c>
      <c r="J34" s="20"/>
      <c r="K34" s="21"/>
      <c r="L34" s="22"/>
    </row>
    <row r="35" spans="1:12" ht="16">
      <c r="A35" s="14" t="s">
        <v>109</v>
      </c>
      <c r="B35" s="5"/>
      <c r="C35" s="16" t="s">
        <v>110</v>
      </c>
      <c r="D35" s="23" t="s">
        <v>111</v>
      </c>
      <c r="E35" s="18" t="s">
        <v>28</v>
      </c>
      <c r="F35" s="19">
        <f t="shared" si="1"/>
        <v>0.63541666666666674</v>
      </c>
      <c r="G35" s="14">
        <v>5</v>
      </c>
      <c r="H35" s="19">
        <f t="shared" si="0"/>
        <v>0.63888888888888895</v>
      </c>
      <c r="I35" s="14" t="s">
        <v>106</v>
      </c>
      <c r="J35" s="20"/>
      <c r="K35" s="21"/>
      <c r="L35" s="22"/>
    </row>
    <row r="36" spans="1:12" ht="46">
      <c r="A36" s="14" t="s">
        <v>112</v>
      </c>
      <c r="B36" s="5"/>
      <c r="C36" s="24" t="s">
        <v>113</v>
      </c>
      <c r="D36" s="17" t="s">
        <v>114</v>
      </c>
      <c r="E36" s="18" t="s">
        <v>28</v>
      </c>
      <c r="F36" s="19">
        <f t="shared" si="1"/>
        <v>0.63888888888888895</v>
      </c>
      <c r="G36" s="14">
        <v>0</v>
      </c>
      <c r="H36" s="19">
        <f t="shared" si="0"/>
        <v>0.63888888888888895</v>
      </c>
      <c r="I36" s="14" t="s">
        <v>109</v>
      </c>
      <c r="J36" s="20"/>
      <c r="K36" s="21"/>
      <c r="L36" s="22"/>
    </row>
    <row r="37" spans="1:12" ht="29.75" customHeight="1">
      <c r="A37" s="14" t="s">
        <v>115</v>
      </c>
      <c r="B37" s="4" t="s">
        <v>116</v>
      </c>
      <c r="C37" s="16" t="s">
        <v>117</v>
      </c>
      <c r="D37" s="23" t="s">
        <v>118</v>
      </c>
      <c r="E37" s="18" t="s">
        <v>23</v>
      </c>
      <c r="F37" s="19">
        <f t="shared" si="1"/>
        <v>0.63888888888888895</v>
      </c>
      <c r="G37" s="14">
        <v>60</v>
      </c>
      <c r="H37" s="19">
        <f t="shared" si="0"/>
        <v>0.68055555555555558</v>
      </c>
      <c r="I37" s="14" t="s">
        <v>109</v>
      </c>
      <c r="J37" s="20"/>
      <c r="K37" s="21"/>
      <c r="L37" s="22"/>
    </row>
    <row r="38" spans="1:12" ht="16">
      <c r="A38" s="14" t="s">
        <v>119</v>
      </c>
      <c r="B38" s="4"/>
      <c r="C38" s="24" t="s">
        <v>120</v>
      </c>
      <c r="D38" s="17" t="s">
        <v>121</v>
      </c>
      <c r="E38" s="18" t="s">
        <v>122</v>
      </c>
      <c r="F38" s="19">
        <f t="shared" si="1"/>
        <v>0.68055555555555558</v>
      </c>
      <c r="G38" s="14">
        <v>5</v>
      </c>
      <c r="H38" s="19">
        <f t="shared" si="0"/>
        <v>0.68402777777777779</v>
      </c>
      <c r="I38" s="14" t="s">
        <v>115</v>
      </c>
      <c r="J38" s="20"/>
      <c r="K38" s="21"/>
      <c r="L38" s="22"/>
    </row>
    <row r="39" spans="1:12" ht="32">
      <c r="A39" s="14" t="s">
        <v>123</v>
      </c>
      <c r="B39" s="4"/>
      <c r="C39" s="16" t="s">
        <v>124</v>
      </c>
      <c r="D39" s="17" t="s">
        <v>125</v>
      </c>
      <c r="E39" s="18" t="s">
        <v>126</v>
      </c>
      <c r="F39" s="19">
        <f t="shared" si="1"/>
        <v>0.68402777777777779</v>
      </c>
      <c r="G39" s="14">
        <v>5</v>
      </c>
      <c r="H39" s="19">
        <f t="shared" si="0"/>
        <v>0.6875</v>
      </c>
      <c r="I39" s="14" t="s">
        <v>119</v>
      </c>
      <c r="J39" s="20"/>
      <c r="K39" s="21"/>
      <c r="L39" s="22"/>
    </row>
    <row r="40" spans="1:12" ht="32">
      <c r="A40" s="14" t="s">
        <v>127</v>
      </c>
      <c r="B40" s="4"/>
      <c r="C40" s="16" t="s">
        <v>128</v>
      </c>
      <c r="D40" s="23" t="s">
        <v>129</v>
      </c>
      <c r="E40" s="18" t="s">
        <v>126</v>
      </c>
      <c r="F40" s="19">
        <f t="shared" si="1"/>
        <v>0.6875</v>
      </c>
      <c r="G40" s="14">
        <v>15</v>
      </c>
      <c r="H40" s="19">
        <f t="shared" si="0"/>
        <v>0.69791666666666663</v>
      </c>
      <c r="I40" s="14" t="s">
        <v>123</v>
      </c>
      <c r="J40" s="20"/>
      <c r="K40" s="21"/>
      <c r="L40" s="22"/>
    </row>
    <row r="41" spans="1:12" ht="16">
      <c r="A41" s="14" t="s">
        <v>130</v>
      </c>
      <c r="B41" s="4"/>
      <c r="C41" s="16" t="s">
        <v>131</v>
      </c>
      <c r="D41" s="23" t="s">
        <v>132</v>
      </c>
      <c r="E41" s="18" t="s">
        <v>28</v>
      </c>
      <c r="F41" s="19">
        <f t="shared" si="1"/>
        <v>0.69791666666666663</v>
      </c>
      <c r="G41" s="14">
        <v>5</v>
      </c>
      <c r="H41" s="19">
        <f t="shared" si="0"/>
        <v>0.70138888888888884</v>
      </c>
      <c r="I41" s="14" t="s">
        <v>127</v>
      </c>
      <c r="J41" s="20"/>
      <c r="K41" s="21"/>
      <c r="L41" s="22"/>
    </row>
    <row r="42" spans="1:12" ht="32">
      <c r="A42" s="14" t="s">
        <v>133</v>
      </c>
      <c r="B42" s="4"/>
      <c r="C42" s="16" t="s">
        <v>134</v>
      </c>
      <c r="D42" s="17" t="s">
        <v>135</v>
      </c>
      <c r="E42" s="18" t="s">
        <v>28</v>
      </c>
      <c r="F42" s="19">
        <f t="shared" si="1"/>
        <v>0.70138888888888884</v>
      </c>
      <c r="G42" s="14">
        <v>0</v>
      </c>
      <c r="H42" s="19">
        <f t="shared" si="0"/>
        <v>0.70138888888888884</v>
      </c>
      <c r="I42" s="14" t="s">
        <v>130</v>
      </c>
      <c r="J42" s="20"/>
      <c r="K42" s="21"/>
      <c r="L42" s="22"/>
    </row>
    <row r="43" spans="1:12" ht="15" customHeight="1">
      <c r="A43" s="14" t="s">
        <v>136</v>
      </c>
      <c r="B43" s="4" t="s">
        <v>137</v>
      </c>
      <c r="C43" s="16" t="s">
        <v>138</v>
      </c>
      <c r="D43" s="17" t="s">
        <v>139</v>
      </c>
      <c r="E43" s="18" t="s">
        <v>28</v>
      </c>
      <c r="F43" s="19">
        <f t="shared" si="1"/>
        <v>0.70138888888888884</v>
      </c>
      <c r="G43" s="14">
        <v>3</v>
      </c>
      <c r="H43" s="19">
        <f t="shared" si="0"/>
        <v>0.70347222222222217</v>
      </c>
      <c r="I43" s="14" t="s">
        <v>130</v>
      </c>
      <c r="J43" s="20"/>
      <c r="K43" s="21"/>
      <c r="L43" s="22"/>
    </row>
    <row r="44" spans="1:12" ht="16">
      <c r="A44" s="14" t="s">
        <v>140</v>
      </c>
      <c r="B44" s="4"/>
      <c r="C44" s="16" t="s">
        <v>141</v>
      </c>
      <c r="D44" s="17" t="s">
        <v>142</v>
      </c>
      <c r="E44" s="18" t="s">
        <v>23</v>
      </c>
      <c r="F44" s="19">
        <f t="shared" si="1"/>
        <v>0.70347222222222217</v>
      </c>
      <c r="G44" s="14">
        <v>5</v>
      </c>
      <c r="H44" s="19">
        <f t="shared" si="0"/>
        <v>0.70694444444444438</v>
      </c>
      <c r="I44" s="14" t="s">
        <v>136</v>
      </c>
      <c r="J44" s="20"/>
      <c r="K44" s="21"/>
      <c r="L44" s="22"/>
    </row>
    <row r="45" spans="1:12" ht="16">
      <c r="A45" s="14" t="s">
        <v>143</v>
      </c>
      <c r="B45" s="4"/>
      <c r="C45" s="16" t="s">
        <v>144</v>
      </c>
      <c r="D45" s="17" t="s">
        <v>145</v>
      </c>
      <c r="E45" s="18" t="s">
        <v>23</v>
      </c>
      <c r="F45" s="19">
        <f t="shared" si="1"/>
        <v>0.70694444444444438</v>
      </c>
      <c r="G45" s="14">
        <v>2</v>
      </c>
      <c r="H45" s="19">
        <f t="shared" si="0"/>
        <v>0.70833333333333326</v>
      </c>
      <c r="I45" s="14" t="s">
        <v>140</v>
      </c>
      <c r="J45" s="20"/>
      <c r="K45" s="21"/>
      <c r="L45" s="22"/>
    </row>
    <row r="46" spans="1:12" ht="24" customHeight="1">
      <c r="A46" s="26"/>
      <c r="B46" s="26"/>
      <c r="C46" s="27" t="s">
        <v>146</v>
      </c>
      <c r="D46" s="26"/>
      <c r="E46" s="26"/>
      <c r="F46" s="28">
        <f>F8</f>
        <v>0.47916666666666702</v>
      </c>
      <c r="G46" s="26">
        <f>SUM(G8:G45)</f>
        <v>330</v>
      </c>
      <c r="H46" s="28">
        <f>H45</f>
        <v>0.70833333333333326</v>
      </c>
      <c r="I46" s="27" t="s">
        <v>147</v>
      </c>
      <c r="J46" s="26" t="str">
        <f>COUNTIF(J8:J45,"완료")&amp;" / "&amp;COUNTA(A8:A45)</f>
        <v>0 / 38</v>
      </c>
      <c r="K46" s="26"/>
      <c r="L46" s="26"/>
    </row>
    <row r="48" spans="1:12">
      <c r="A48" s="29" t="s">
        <v>148</v>
      </c>
    </row>
    <row r="49" spans="1:1">
      <c r="A49" s="30" t="s">
        <v>149</v>
      </c>
    </row>
    <row r="50" spans="1:1">
      <c r="A50" s="30" t="s">
        <v>150</v>
      </c>
    </row>
    <row r="51" spans="1:1">
      <c r="A51" s="30" t="s">
        <v>151</v>
      </c>
    </row>
    <row r="52" spans="1:1">
      <c r="A52" s="30" t="s">
        <v>152</v>
      </c>
    </row>
    <row r="53" spans="1:1">
      <c r="A53" s="29" t="s">
        <v>153</v>
      </c>
    </row>
    <row r="54" spans="1:1">
      <c r="A54" s="30" t="s">
        <v>154</v>
      </c>
    </row>
    <row r="55" spans="1:1">
      <c r="A55" s="30" t="s">
        <v>155</v>
      </c>
    </row>
    <row r="56" spans="1:1">
      <c r="A56" s="30" t="s">
        <v>156</v>
      </c>
    </row>
    <row r="57" spans="1:1">
      <c r="A57" s="30" t="s">
        <v>157</v>
      </c>
    </row>
  </sheetData>
  <mergeCells count="12">
    <mergeCell ref="B37:B42"/>
    <mergeCell ref="B43:B45"/>
    <mergeCell ref="B14:B17"/>
    <mergeCell ref="B18:B21"/>
    <mergeCell ref="B22:B24"/>
    <mergeCell ref="B25:B31"/>
    <mergeCell ref="B32:B36"/>
    <mergeCell ref="A1:L1"/>
    <mergeCell ref="A2:L2"/>
    <mergeCell ref="A4:B4"/>
    <mergeCell ref="A5:B5"/>
    <mergeCell ref="B8:B13"/>
  </mergeCells>
  <phoneticPr fontId="25" type="noConversion"/>
  <conditionalFormatting sqref="J8:J45">
    <cfRule type="cellIs" dxfId="4" priority="2" operator="equal">
      <formula>"완료"</formula>
    </cfRule>
    <cfRule type="cellIs" dxfId="3" priority="3" operator="equal">
      <formula>"이슈"</formula>
    </cfRule>
  </conditionalFormatting>
  <dataValidations count="1">
    <dataValidation type="list" allowBlank="1" sqref="J8:J45" xr:uid="{00000000-0002-0000-0000-000000000000}">
      <formula1>"완료,진행중,이슈,해당없음"</formula1>
      <formula2>0</formula2>
    </dataValidation>
  </dataValidations>
  <printOptions horizontalCentered="1"/>
  <pageMargins left="0.3" right="0.3" top="0.4" bottom="0.4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1"/>
  <sheetViews>
    <sheetView showGridLines="0" zoomScaleNormal="100" workbookViewId="0">
      <pane ySplit="4" topLeftCell="A5" activePane="bottomLeft" state="frozen"/>
      <selection pane="bottomLeft" sqref="A1:H1"/>
    </sheetView>
  </sheetViews>
  <sheetFormatPr baseColWidth="10" defaultColWidth="8.6640625" defaultRowHeight="15"/>
  <cols>
    <col min="1" max="1" width="5" customWidth="1"/>
    <col min="2" max="2" width="14" customWidth="1"/>
    <col min="3" max="3" width="28" customWidth="1"/>
    <col min="4" max="4" width="52" customWidth="1"/>
    <col min="5" max="5" width="8" customWidth="1"/>
    <col min="6" max="6" width="14" customWidth="1"/>
    <col min="7" max="7" width="8" customWidth="1"/>
    <col min="8" max="8" width="22" customWidth="1"/>
  </cols>
  <sheetData>
    <row r="1" spans="1:8" ht="25.5" customHeight="1">
      <c r="A1" s="3" t="s">
        <v>158</v>
      </c>
      <c r="B1" s="3"/>
      <c r="C1" s="3"/>
      <c r="D1" s="3"/>
      <c r="E1" s="3"/>
      <c r="F1" s="3"/>
      <c r="G1" s="3"/>
      <c r="H1" s="3"/>
    </row>
    <row r="2" spans="1:8" ht="18" customHeight="1">
      <c r="A2" s="7" t="s">
        <v>159</v>
      </c>
      <c r="B2" s="7"/>
      <c r="C2" s="7"/>
      <c r="D2" s="7"/>
      <c r="E2" s="7"/>
      <c r="F2" s="7"/>
      <c r="G2" s="7"/>
      <c r="H2" s="7"/>
    </row>
    <row r="4" spans="1:8" ht="30" customHeight="1">
      <c r="A4" s="25" t="s">
        <v>7</v>
      </c>
      <c r="B4" s="31" t="s">
        <v>160</v>
      </c>
      <c r="C4" s="31" t="s">
        <v>161</v>
      </c>
      <c r="D4" s="31" t="s">
        <v>162</v>
      </c>
      <c r="E4" s="31" t="s">
        <v>11</v>
      </c>
      <c r="F4" s="31" t="s">
        <v>163</v>
      </c>
      <c r="G4" s="31" t="s">
        <v>16</v>
      </c>
      <c r="H4" s="31" t="s">
        <v>164</v>
      </c>
    </row>
    <row r="5" spans="1:8">
      <c r="A5" s="32">
        <v>1</v>
      </c>
      <c r="B5" s="33" t="s">
        <v>165</v>
      </c>
      <c r="C5" s="34" t="s">
        <v>166</v>
      </c>
      <c r="D5" s="35" t="s">
        <v>167</v>
      </c>
      <c r="E5" s="33" t="s">
        <v>28</v>
      </c>
      <c r="F5" s="36">
        <v>46274</v>
      </c>
      <c r="G5" s="20"/>
      <c r="H5" s="22"/>
    </row>
    <row r="6" spans="1:8" ht="16">
      <c r="A6" s="14">
        <v>2</v>
      </c>
      <c r="B6" s="18" t="s">
        <v>165</v>
      </c>
      <c r="C6" s="16" t="s">
        <v>168</v>
      </c>
      <c r="D6" s="17" t="s">
        <v>169</v>
      </c>
      <c r="E6" s="18" t="s">
        <v>28</v>
      </c>
      <c r="F6" s="37">
        <v>46274</v>
      </c>
      <c r="G6" s="20"/>
      <c r="H6" s="22"/>
    </row>
    <row r="7" spans="1:8" ht="16">
      <c r="A7" s="32">
        <v>3</v>
      </c>
      <c r="B7" s="33" t="s">
        <v>165</v>
      </c>
      <c r="C7" s="34" t="s">
        <v>170</v>
      </c>
      <c r="D7" s="35" t="s">
        <v>171</v>
      </c>
      <c r="E7" s="33" t="s">
        <v>28</v>
      </c>
      <c r="F7" s="36">
        <v>46274</v>
      </c>
      <c r="G7" s="20"/>
      <c r="H7" s="22"/>
    </row>
    <row r="8" spans="1:8" ht="16">
      <c r="A8" s="14">
        <v>4</v>
      </c>
      <c r="B8" s="18" t="s">
        <v>172</v>
      </c>
      <c r="C8" s="16" t="s">
        <v>173</v>
      </c>
      <c r="D8" s="17" t="s">
        <v>174</v>
      </c>
      <c r="E8" s="18" t="s">
        <v>28</v>
      </c>
      <c r="F8" s="37">
        <v>46274</v>
      </c>
      <c r="G8" s="20"/>
      <c r="H8" s="22"/>
    </row>
    <row r="9" spans="1:8" ht="16">
      <c r="A9" s="32">
        <v>5</v>
      </c>
      <c r="B9" s="33" t="s">
        <v>172</v>
      </c>
      <c r="C9" s="34" t="s">
        <v>175</v>
      </c>
      <c r="D9" s="35" t="s">
        <v>176</v>
      </c>
      <c r="E9" s="33" t="s">
        <v>28</v>
      </c>
      <c r="F9" s="36">
        <v>46274</v>
      </c>
      <c r="G9" s="20"/>
      <c r="H9" s="22"/>
    </row>
    <row r="10" spans="1:8" ht="16">
      <c r="A10" s="14">
        <v>6</v>
      </c>
      <c r="B10" s="18" t="s">
        <v>172</v>
      </c>
      <c r="C10" s="16" t="s">
        <v>177</v>
      </c>
      <c r="D10" s="17" t="s">
        <v>178</v>
      </c>
      <c r="E10" s="18" t="s">
        <v>28</v>
      </c>
      <c r="F10" s="37">
        <v>46274</v>
      </c>
      <c r="G10" s="20"/>
      <c r="H10" s="22"/>
    </row>
    <row r="11" spans="1:8" ht="16">
      <c r="A11" s="32">
        <v>7</v>
      </c>
      <c r="B11" s="33" t="s">
        <v>172</v>
      </c>
      <c r="C11" s="34" t="s">
        <v>179</v>
      </c>
      <c r="D11" s="35" t="s">
        <v>180</v>
      </c>
      <c r="E11" s="33" t="s">
        <v>28</v>
      </c>
      <c r="F11" s="36">
        <v>46274</v>
      </c>
      <c r="G11" s="20"/>
      <c r="H11" s="22"/>
    </row>
    <row r="12" spans="1:8">
      <c r="A12" s="14">
        <v>8</v>
      </c>
      <c r="B12" s="18" t="s">
        <v>181</v>
      </c>
      <c r="C12" s="16" t="s">
        <v>182</v>
      </c>
      <c r="D12" s="17" t="s">
        <v>183</v>
      </c>
      <c r="E12" s="18" t="s">
        <v>28</v>
      </c>
      <c r="F12" s="37">
        <v>46274</v>
      </c>
      <c r="G12" s="20"/>
      <c r="H12" s="22"/>
    </row>
    <row r="13" spans="1:8" ht="16">
      <c r="A13" s="32">
        <v>9</v>
      </c>
      <c r="B13" s="33" t="s">
        <v>181</v>
      </c>
      <c r="C13" s="34" t="s">
        <v>184</v>
      </c>
      <c r="D13" s="35" t="s">
        <v>185</v>
      </c>
      <c r="E13" s="33" t="s">
        <v>122</v>
      </c>
      <c r="F13" s="36">
        <v>46274</v>
      </c>
      <c r="G13" s="20"/>
      <c r="H13" s="22"/>
    </row>
    <row r="14" spans="1:8" ht="16">
      <c r="A14" s="14">
        <v>10</v>
      </c>
      <c r="B14" s="18" t="s">
        <v>126</v>
      </c>
      <c r="C14" s="16" t="s">
        <v>186</v>
      </c>
      <c r="D14" s="23" t="s">
        <v>187</v>
      </c>
      <c r="E14" s="18" t="s">
        <v>126</v>
      </c>
      <c r="F14" s="37">
        <v>46274</v>
      </c>
      <c r="G14" s="20"/>
      <c r="H14" s="22"/>
    </row>
    <row r="15" spans="1:8" ht="16">
      <c r="A15" s="32">
        <v>11</v>
      </c>
      <c r="B15" s="33" t="s">
        <v>126</v>
      </c>
      <c r="C15" s="38" t="s">
        <v>188</v>
      </c>
      <c r="D15" s="35" t="s">
        <v>189</v>
      </c>
      <c r="E15" s="33" t="s">
        <v>126</v>
      </c>
      <c r="F15" s="36">
        <v>46274</v>
      </c>
      <c r="G15" s="20"/>
      <c r="H15" s="22"/>
    </row>
    <row r="16" spans="1:8">
      <c r="A16" s="14">
        <v>12</v>
      </c>
      <c r="B16" s="18" t="s">
        <v>190</v>
      </c>
      <c r="C16" s="16" t="s">
        <v>191</v>
      </c>
      <c r="D16" s="17" t="s">
        <v>192</v>
      </c>
      <c r="E16" s="18" t="s">
        <v>23</v>
      </c>
      <c r="F16" s="37">
        <v>46274</v>
      </c>
      <c r="G16" s="20"/>
      <c r="H16" s="22"/>
    </row>
    <row r="17" spans="1:8" ht="16">
      <c r="A17" s="32">
        <v>13</v>
      </c>
      <c r="B17" s="33" t="s">
        <v>190</v>
      </c>
      <c r="C17" s="34" t="s">
        <v>193</v>
      </c>
      <c r="D17" s="35" t="s">
        <v>194</v>
      </c>
      <c r="E17" s="33" t="s">
        <v>28</v>
      </c>
      <c r="F17" s="36">
        <v>46274</v>
      </c>
      <c r="G17" s="20"/>
      <c r="H17" s="22"/>
    </row>
    <row r="18" spans="1:8">
      <c r="A18" s="14">
        <v>14</v>
      </c>
      <c r="B18" s="18" t="s">
        <v>23</v>
      </c>
      <c r="C18" s="16" t="s">
        <v>195</v>
      </c>
      <c r="D18" s="17" t="s">
        <v>196</v>
      </c>
      <c r="E18" s="18" t="s">
        <v>23</v>
      </c>
      <c r="F18" s="37">
        <v>46274</v>
      </c>
      <c r="G18" s="20"/>
      <c r="H18" s="22"/>
    </row>
    <row r="19" spans="1:8" ht="16">
      <c r="A19" s="32">
        <v>15</v>
      </c>
      <c r="B19" s="33" t="s">
        <v>23</v>
      </c>
      <c r="C19" s="34" t="s">
        <v>197</v>
      </c>
      <c r="D19" s="35" t="s">
        <v>198</v>
      </c>
      <c r="E19" s="33" t="s">
        <v>23</v>
      </c>
      <c r="F19" s="36">
        <v>46274</v>
      </c>
      <c r="G19" s="20"/>
      <c r="H19" s="22"/>
    </row>
    <row r="20" spans="1:8" ht="16">
      <c r="A20" s="14">
        <v>16</v>
      </c>
      <c r="B20" s="18" t="s">
        <v>23</v>
      </c>
      <c r="C20" s="24" t="s">
        <v>199</v>
      </c>
      <c r="D20" s="17" t="s">
        <v>200</v>
      </c>
      <c r="E20" s="18" t="s">
        <v>23</v>
      </c>
      <c r="F20" s="37">
        <v>46274</v>
      </c>
      <c r="G20" s="20"/>
      <c r="H20" s="22"/>
    </row>
    <row r="21" spans="1:8">
      <c r="F21" s="39" t="s">
        <v>147</v>
      </c>
      <c r="G21" s="40" t="str">
        <f>COUNTIF(G5:G20,"완료")&amp;" / "&amp;COUNTA(A5:A20)</f>
        <v>0 / 16</v>
      </c>
    </row>
  </sheetData>
  <mergeCells count="2">
    <mergeCell ref="A1:H1"/>
    <mergeCell ref="A2:H2"/>
  </mergeCells>
  <phoneticPr fontId="25" type="noConversion"/>
  <conditionalFormatting sqref="G5:G20">
    <cfRule type="cellIs" dxfId="2" priority="2" operator="equal">
      <formula>"완료"</formula>
    </cfRule>
  </conditionalFormatting>
  <dataValidations count="1">
    <dataValidation type="list" allowBlank="1" sqref="G5:G20" xr:uid="{00000000-0002-0000-0100-000000000000}">
      <formula1>"완료,진행중,이슈,해당없음"</formula1>
      <formula2>0</formula2>
    </dataValidation>
  </dataValidations>
  <printOptions horizontalCentered="1"/>
  <pageMargins left="0.3" right="0.3" top="0.4" bottom="0.4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26"/>
  <sheetViews>
    <sheetView showGridLines="0" zoomScaleNormal="100" workbookViewId="0">
      <selection sqref="A1:H1"/>
    </sheetView>
  </sheetViews>
  <sheetFormatPr baseColWidth="10" defaultColWidth="8.6640625" defaultRowHeight="15"/>
  <cols>
    <col min="1" max="1" width="5" customWidth="1"/>
    <col min="2" max="2" width="22" customWidth="1"/>
    <col min="3" max="3" width="56" customWidth="1"/>
    <col min="4" max="4" width="8" customWidth="1"/>
    <col min="5" max="5" width="10" customWidth="1"/>
    <col min="6" max="6" width="8" customWidth="1"/>
    <col min="7" max="7" width="12" customWidth="1"/>
    <col min="8" max="8" width="24" customWidth="1"/>
  </cols>
  <sheetData>
    <row r="1" spans="1:8" ht="25.5" customHeight="1">
      <c r="A1" s="3" t="s">
        <v>201</v>
      </c>
      <c r="B1" s="3"/>
      <c r="C1" s="3"/>
      <c r="D1" s="3"/>
      <c r="E1" s="3"/>
      <c r="F1" s="3"/>
      <c r="G1" s="3"/>
      <c r="H1" s="3"/>
    </row>
    <row r="2" spans="1:8" ht="18" customHeight="1">
      <c r="A2" s="7" t="s">
        <v>202</v>
      </c>
      <c r="B2" s="7"/>
      <c r="C2" s="7"/>
      <c r="D2" s="7"/>
      <c r="E2" s="7"/>
      <c r="F2" s="7"/>
      <c r="G2" s="7"/>
      <c r="H2" s="7"/>
    </row>
    <row r="4" spans="1:8">
      <c r="A4" s="41" t="s">
        <v>203</v>
      </c>
    </row>
    <row r="5" spans="1:8">
      <c r="A5" s="2" t="s">
        <v>204</v>
      </c>
      <c r="B5" s="2"/>
      <c r="C5" s="2"/>
      <c r="D5" s="2"/>
      <c r="E5" s="2"/>
      <c r="F5" s="2"/>
      <c r="G5" s="2"/>
      <c r="H5" s="2"/>
    </row>
    <row r="6" spans="1:8">
      <c r="A6" s="2" t="s">
        <v>205</v>
      </c>
      <c r="B6" s="2"/>
      <c r="C6" s="2"/>
      <c r="D6" s="2"/>
      <c r="E6" s="2"/>
      <c r="F6" s="2"/>
      <c r="G6" s="2"/>
      <c r="H6" s="2"/>
    </row>
    <row r="7" spans="1:8">
      <c r="A7" s="1" t="s">
        <v>206</v>
      </c>
      <c r="B7" s="1"/>
      <c r="C7" s="1"/>
      <c r="D7" s="1"/>
      <c r="E7" s="1"/>
      <c r="F7" s="1"/>
      <c r="G7" s="1"/>
      <c r="H7" s="1"/>
    </row>
    <row r="8" spans="1:8">
      <c r="A8" s="2" t="s">
        <v>207</v>
      </c>
      <c r="B8" s="2"/>
      <c r="C8" s="2"/>
      <c r="D8" s="2"/>
      <c r="E8" s="2"/>
      <c r="F8" s="2"/>
      <c r="G8" s="2"/>
      <c r="H8" s="2"/>
    </row>
    <row r="10" spans="1:8" ht="30" customHeight="1">
      <c r="A10" s="42" t="s">
        <v>7</v>
      </c>
      <c r="B10" s="43" t="s">
        <v>208</v>
      </c>
      <c r="C10" s="43" t="s">
        <v>162</v>
      </c>
      <c r="D10" s="43" t="s">
        <v>11</v>
      </c>
      <c r="E10" s="43" t="s">
        <v>13</v>
      </c>
      <c r="F10" s="43" t="s">
        <v>16</v>
      </c>
      <c r="G10" s="43" t="s">
        <v>17</v>
      </c>
      <c r="H10" s="43" t="s">
        <v>164</v>
      </c>
    </row>
    <row r="11" spans="1:8" ht="30">
      <c r="A11" s="14">
        <v>1</v>
      </c>
      <c r="B11" s="16" t="s">
        <v>209</v>
      </c>
      <c r="C11" s="17" t="s">
        <v>210</v>
      </c>
      <c r="D11" s="18" t="s">
        <v>122</v>
      </c>
      <c r="E11" s="14">
        <v>5</v>
      </c>
      <c r="F11" s="20"/>
      <c r="G11" s="21"/>
      <c r="H11" s="22"/>
    </row>
    <row r="12" spans="1:8" ht="16">
      <c r="A12" s="32">
        <v>2</v>
      </c>
      <c r="B12" s="34" t="s">
        <v>211</v>
      </c>
      <c r="C12" s="35" t="s">
        <v>212</v>
      </c>
      <c r="D12" s="33" t="s">
        <v>28</v>
      </c>
      <c r="E12" s="32">
        <v>5</v>
      </c>
      <c r="F12" s="20"/>
      <c r="G12" s="21"/>
      <c r="H12" s="22"/>
    </row>
    <row r="13" spans="1:8" ht="30">
      <c r="A13" s="14">
        <v>3</v>
      </c>
      <c r="B13" s="16" t="s">
        <v>213</v>
      </c>
      <c r="C13" s="17" t="s">
        <v>214</v>
      </c>
      <c r="D13" s="18" t="s">
        <v>28</v>
      </c>
      <c r="E13" s="14">
        <v>3</v>
      </c>
      <c r="F13" s="20"/>
      <c r="G13" s="21"/>
      <c r="H13" s="22"/>
    </row>
    <row r="14" spans="1:8" ht="16">
      <c r="A14" s="32">
        <v>4</v>
      </c>
      <c r="B14" s="38" t="s">
        <v>215</v>
      </c>
      <c r="C14" s="35" t="s">
        <v>216</v>
      </c>
      <c r="D14" s="33" t="s">
        <v>28</v>
      </c>
      <c r="E14" s="32">
        <v>15</v>
      </c>
      <c r="F14" s="20"/>
      <c r="G14" s="21"/>
      <c r="H14" s="22"/>
    </row>
    <row r="15" spans="1:8" ht="16">
      <c r="A15" s="14">
        <v>5</v>
      </c>
      <c r="B15" s="24" t="s">
        <v>217</v>
      </c>
      <c r="C15" s="17" t="s">
        <v>218</v>
      </c>
      <c r="D15" s="18" t="s">
        <v>28</v>
      </c>
      <c r="E15" s="14">
        <v>5</v>
      </c>
      <c r="F15" s="20"/>
      <c r="G15" s="21"/>
      <c r="H15" s="22"/>
    </row>
    <row r="16" spans="1:8" ht="16">
      <c r="A16" s="32">
        <v>6</v>
      </c>
      <c r="B16" s="34" t="s">
        <v>219</v>
      </c>
      <c r="C16" s="35" t="s">
        <v>220</v>
      </c>
      <c r="D16" s="33" t="s">
        <v>28</v>
      </c>
      <c r="E16" s="32">
        <v>10</v>
      </c>
      <c r="F16" s="20"/>
      <c r="G16" s="21"/>
      <c r="H16" s="22"/>
    </row>
    <row r="17" spans="1:8" ht="32">
      <c r="A17" s="14">
        <v>7</v>
      </c>
      <c r="B17" s="16" t="s">
        <v>221</v>
      </c>
      <c r="C17" s="23" t="s">
        <v>222</v>
      </c>
      <c r="D17" s="18" t="s">
        <v>28</v>
      </c>
      <c r="E17" s="14">
        <v>5</v>
      </c>
      <c r="F17" s="20"/>
      <c r="G17" s="21"/>
      <c r="H17" s="22"/>
    </row>
    <row r="18" spans="1:8" ht="16">
      <c r="A18" s="32">
        <v>8</v>
      </c>
      <c r="B18" s="34" t="s">
        <v>223</v>
      </c>
      <c r="C18" s="44" t="s">
        <v>224</v>
      </c>
      <c r="D18" s="33" t="s">
        <v>23</v>
      </c>
      <c r="E18" s="32">
        <v>7</v>
      </c>
      <c r="F18" s="20"/>
      <c r="G18" s="21"/>
      <c r="H18" s="22"/>
    </row>
    <row r="19" spans="1:8" ht="16">
      <c r="A19" s="14">
        <v>9</v>
      </c>
      <c r="B19" s="16" t="s">
        <v>225</v>
      </c>
      <c r="C19" s="23" t="s">
        <v>226</v>
      </c>
      <c r="D19" s="18" t="s">
        <v>126</v>
      </c>
      <c r="E19" s="14">
        <v>3</v>
      </c>
      <c r="F19" s="20"/>
      <c r="G19" s="21"/>
      <c r="H19" s="22"/>
    </row>
    <row r="20" spans="1:8" ht="16">
      <c r="A20" s="32">
        <v>10</v>
      </c>
      <c r="B20" s="34" t="s">
        <v>227</v>
      </c>
      <c r="C20" s="35" t="s">
        <v>228</v>
      </c>
      <c r="D20" s="33" t="s">
        <v>23</v>
      </c>
      <c r="E20" s="32">
        <v>2</v>
      </c>
      <c r="F20" s="20"/>
      <c r="G20" s="21"/>
      <c r="H20" s="22"/>
    </row>
    <row r="21" spans="1:8">
      <c r="A21" s="45"/>
      <c r="B21" s="46" t="s">
        <v>146</v>
      </c>
      <c r="C21" s="46"/>
      <c r="D21" s="46"/>
      <c r="E21" s="46">
        <f>SUM(E11:E20)</f>
        <v>60</v>
      </c>
      <c r="F21" s="46"/>
      <c r="G21" s="46"/>
      <c r="H21" s="46"/>
    </row>
    <row r="23" spans="1:8">
      <c r="A23" s="29" t="s">
        <v>229</v>
      </c>
    </row>
    <row r="24" spans="1:8">
      <c r="A24" s="30" t="s">
        <v>230</v>
      </c>
    </row>
    <row r="25" spans="1:8">
      <c r="A25" s="30" t="s">
        <v>231</v>
      </c>
    </row>
    <row r="26" spans="1:8">
      <c r="A26" s="30" t="s">
        <v>232</v>
      </c>
    </row>
  </sheetData>
  <mergeCells count="6">
    <mergeCell ref="A8:H8"/>
    <mergeCell ref="A1:H1"/>
    <mergeCell ref="A2:H2"/>
    <mergeCell ref="A5:H5"/>
    <mergeCell ref="A6:H6"/>
    <mergeCell ref="A7:H7"/>
  </mergeCells>
  <phoneticPr fontId="25" type="noConversion"/>
  <dataValidations count="1">
    <dataValidation type="list" allowBlank="1" sqref="F11:F20" xr:uid="{00000000-0002-0000-0200-000000000000}">
      <formula1>"완료,진행중,이슈,해당없음"</formula1>
      <formula2>0</formula2>
    </dataValidation>
  </dataValidations>
  <printOptions horizontalCentered="1"/>
  <pageMargins left="0.3" right="0.3" top="0.4" bottom="0.4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22"/>
  <sheetViews>
    <sheetView showGridLines="0" tabSelected="1" zoomScaleNormal="100" workbookViewId="0">
      <pane ySplit="4" topLeftCell="A5" activePane="bottomLeft" state="frozen"/>
      <selection pane="bottomLeft" sqref="A1:I1"/>
    </sheetView>
  </sheetViews>
  <sheetFormatPr baseColWidth="10" defaultColWidth="8.6640625" defaultRowHeight="15"/>
  <cols>
    <col min="1" max="1" width="5" customWidth="1"/>
    <col min="2" max="2" width="16" customWidth="1"/>
    <col min="3" max="3" width="26" customWidth="1"/>
    <col min="4" max="4" width="40" customWidth="1"/>
    <col min="5" max="5" width="26" customWidth="1"/>
    <col min="6" max="6" width="8" customWidth="1"/>
    <col min="7" max="8" width="12" customWidth="1"/>
    <col min="9" max="9" width="20" customWidth="1"/>
  </cols>
  <sheetData>
    <row r="1" spans="1:9" ht="25.5" customHeight="1">
      <c r="A1" s="3" t="s">
        <v>233</v>
      </c>
      <c r="B1" s="3"/>
      <c r="C1" s="3"/>
      <c r="D1" s="3"/>
      <c r="E1" s="3"/>
      <c r="F1" s="3"/>
      <c r="G1" s="3"/>
      <c r="H1" s="3"/>
      <c r="I1" s="3"/>
    </row>
    <row r="2" spans="1:9" ht="18" customHeight="1">
      <c r="A2" s="7" t="s">
        <v>234</v>
      </c>
      <c r="B2" s="7"/>
      <c r="C2" s="7"/>
      <c r="D2" s="7"/>
      <c r="E2" s="7"/>
      <c r="F2" s="7"/>
      <c r="G2" s="7"/>
      <c r="H2" s="7"/>
      <c r="I2" s="7"/>
    </row>
    <row r="4" spans="1:9" ht="30" customHeight="1">
      <c r="A4" s="15" t="s">
        <v>7</v>
      </c>
      <c r="B4" s="47" t="s">
        <v>160</v>
      </c>
      <c r="C4" s="47" t="s">
        <v>235</v>
      </c>
      <c r="D4" s="47" t="s">
        <v>236</v>
      </c>
      <c r="E4" s="47" t="s">
        <v>237</v>
      </c>
      <c r="F4" s="47" t="s">
        <v>11</v>
      </c>
      <c r="G4" s="47" t="s">
        <v>238</v>
      </c>
      <c r="H4" s="47" t="s">
        <v>239</v>
      </c>
      <c r="I4" s="47" t="s">
        <v>18</v>
      </c>
    </row>
    <row r="5" spans="1:9" ht="16">
      <c r="A5" s="32">
        <v>1</v>
      </c>
      <c r="B5" s="33" t="s">
        <v>240</v>
      </c>
      <c r="C5" s="38" t="s">
        <v>241</v>
      </c>
      <c r="D5" s="35" t="s">
        <v>242</v>
      </c>
      <c r="E5" s="35" t="s">
        <v>243</v>
      </c>
      <c r="F5" s="33" t="s">
        <v>23</v>
      </c>
      <c r="G5" s="20"/>
      <c r="H5" s="21"/>
      <c r="I5" s="22"/>
    </row>
    <row r="6" spans="1:9" ht="16">
      <c r="A6" s="14">
        <v>2</v>
      </c>
      <c r="B6" s="18" t="s">
        <v>240</v>
      </c>
      <c r="C6" s="16" t="s">
        <v>244</v>
      </c>
      <c r="D6" s="17" t="s">
        <v>245</v>
      </c>
      <c r="E6" s="17" t="s">
        <v>246</v>
      </c>
      <c r="F6" s="18" t="s">
        <v>23</v>
      </c>
      <c r="G6" s="20"/>
      <c r="H6" s="21"/>
      <c r="I6" s="22"/>
    </row>
    <row r="7" spans="1:9" ht="16">
      <c r="A7" s="32">
        <v>3</v>
      </c>
      <c r="B7" s="33" t="s">
        <v>240</v>
      </c>
      <c r="C7" s="34" t="s">
        <v>247</v>
      </c>
      <c r="D7" s="35" t="s">
        <v>248</v>
      </c>
      <c r="E7" s="35" t="s">
        <v>249</v>
      </c>
      <c r="F7" s="33" t="s">
        <v>23</v>
      </c>
      <c r="G7" s="20"/>
      <c r="H7" s="21"/>
      <c r="I7" s="22"/>
    </row>
    <row r="8" spans="1:9" ht="16">
      <c r="A8" s="14">
        <v>4</v>
      </c>
      <c r="B8" s="18" t="s">
        <v>250</v>
      </c>
      <c r="C8" s="16" t="s">
        <v>251</v>
      </c>
      <c r="D8" s="17" t="s">
        <v>252</v>
      </c>
      <c r="E8" s="17" t="s">
        <v>253</v>
      </c>
      <c r="F8" s="18" t="s">
        <v>23</v>
      </c>
      <c r="G8" s="20"/>
      <c r="H8" s="21"/>
      <c r="I8" s="22"/>
    </row>
    <row r="9" spans="1:9" ht="16">
      <c r="A9" s="32">
        <v>5</v>
      </c>
      <c r="B9" s="33" t="s">
        <v>250</v>
      </c>
      <c r="C9" s="34" t="s">
        <v>254</v>
      </c>
      <c r="D9" s="35" t="s">
        <v>255</v>
      </c>
      <c r="E9" s="35" t="s">
        <v>256</v>
      </c>
      <c r="F9" s="33" t="s">
        <v>23</v>
      </c>
      <c r="G9" s="20"/>
      <c r="H9" s="21"/>
      <c r="I9" s="22"/>
    </row>
    <row r="10" spans="1:9" ht="32">
      <c r="A10" s="14">
        <v>6</v>
      </c>
      <c r="B10" s="18" t="s">
        <v>250</v>
      </c>
      <c r="C10" s="16" t="s">
        <v>257</v>
      </c>
      <c r="D10" s="17" t="s">
        <v>258</v>
      </c>
      <c r="E10" s="17" t="s">
        <v>259</v>
      </c>
      <c r="F10" s="18" t="s">
        <v>23</v>
      </c>
      <c r="G10" s="20"/>
      <c r="H10" s="21"/>
      <c r="I10" s="22"/>
    </row>
    <row r="11" spans="1:9" ht="16">
      <c r="A11" s="32">
        <v>7</v>
      </c>
      <c r="B11" s="33" t="s">
        <v>250</v>
      </c>
      <c r="C11" s="34" t="s">
        <v>260</v>
      </c>
      <c r="D11" s="35" t="s">
        <v>261</v>
      </c>
      <c r="E11" s="35" t="s">
        <v>262</v>
      </c>
      <c r="F11" s="33" t="s">
        <v>23</v>
      </c>
      <c r="G11" s="20"/>
      <c r="H11" s="21"/>
      <c r="I11" s="22"/>
    </row>
    <row r="12" spans="1:9" ht="16">
      <c r="A12" s="14">
        <v>8</v>
      </c>
      <c r="B12" s="18" t="s">
        <v>250</v>
      </c>
      <c r="C12" s="16" t="s">
        <v>263</v>
      </c>
      <c r="D12" s="17" t="s">
        <v>264</v>
      </c>
      <c r="E12" s="17" t="s">
        <v>265</v>
      </c>
      <c r="F12" s="18" t="s">
        <v>23</v>
      </c>
      <c r="G12" s="20"/>
      <c r="H12" s="21"/>
      <c r="I12" s="22"/>
    </row>
    <row r="13" spans="1:9" ht="16">
      <c r="A13" s="32">
        <v>9</v>
      </c>
      <c r="B13" s="33" t="s">
        <v>266</v>
      </c>
      <c r="C13" s="34" t="s">
        <v>267</v>
      </c>
      <c r="D13" s="35" t="s">
        <v>268</v>
      </c>
      <c r="E13" s="35" t="s">
        <v>269</v>
      </c>
      <c r="F13" s="33" t="s">
        <v>23</v>
      </c>
      <c r="G13" s="20"/>
      <c r="H13" s="21"/>
      <c r="I13" s="22"/>
    </row>
    <row r="14" spans="1:9" ht="30">
      <c r="A14" s="14">
        <v>10</v>
      </c>
      <c r="B14" s="18" t="s">
        <v>266</v>
      </c>
      <c r="C14" s="16" t="s">
        <v>270</v>
      </c>
      <c r="D14" s="17" t="s">
        <v>271</v>
      </c>
      <c r="E14" s="17" t="s">
        <v>272</v>
      </c>
      <c r="F14" s="18" t="s">
        <v>23</v>
      </c>
      <c r="G14" s="20"/>
      <c r="H14" s="21"/>
      <c r="I14" s="22"/>
    </row>
    <row r="15" spans="1:9" ht="28">
      <c r="A15" s="32">
        <v>11</v>
      </c>
      <c r="B15" s="33" t="s">
        <v>273</v>
      </c>
      <c r="C15" s="34" t="s">
        <v>274</v>
      </c>
      <c r="D15" s="44" t="s">
        <v>275</v>
      </c>
      <c r="E15" s="35" t="s">
        <v>276</v>
      </c>
      <c r="F15" s="33" t="s">
        <v>126</v>
      </c>
      <c r="G15" s="20"/>
      <c r="H15" s="21"/>
      <c r="I15" s="22"/>
    </row>
    <row r="16" spans="1:9" ht="16">
      <c r="A16" s="14">
        <v>12</v>
      </c>
      <c r="B16" s="18" t="s">
        <v>273</v>
      </c>
      <c r="C16" s="16" t="s">
        <v>277</v>
      </c>
      <c r="D16" s="23" t="s">
        <v>278</v>
      </c>
      <c r="E16" s="17" t="s">
        <v>279</v>
      </c>
      <c r="F16" s="18" t="s">
        <v>126</v>
      </c>
      <c r="G16" s="20"/>
      <c r="H16" s="21"/>
      <c r="I16" s="22"/>
    </row>
    <row r="17" spans="1:9">
      <c r="A17" s="32">
        <v>13</v>
      </c>
      <c r="B17" s="33" t="s">
        <v>273</v>
      </c>
      <c r="C17" s="34" t="s">
        <v>280</v>
      </c>
      <c r="D17" s="35" t="s">
        <v>281</v>
      </c>
      <c r="E17" s="35" t="s">
        <v>282</v>
      </c>
      <c r="F17" s="33" t="s">
        <v>126</v>
      </c>
      <c r="G17" s="20"/>
      <c r="H17" s="21"/>
      <c r="I17" s="22"/>
    </row>
    <row r="18" spans="1:9">
      <c r="A18" s="14">
        <v>14</v>
      </c>
      <c r="B18" s="18" t="s">
        <v>273</v>
      </c>
      <c r="C18" s="16" t="s">
        <v>283</v>
      </c>
      <c r="D18" s="17" t="s">
        <v>284</v>
      </c>
      <c r="E18" s="17" t="s">
        <v>285</v>
      </c>
      <c r="F18" s="18" t="s">
        <v>126</v>
      </c>
      <c r="G18" s="20"/>
      <c r="H18" s="21"/>
      <c r="I18" s="22"/>
    </row>
    <row r="19" spans="1:9" ht="16">
      <c r="A19" s="32">
        <v>15</v>
      </c>
      <c r="B19" s="33" t="s">
        <v>286</v>
      </c>
      <c r="C19" s="34" t="s">
        <v>287</v>
      </c>
      <c r="D19" s="44" t="s">
        <v>288</v>
      </c>
      <c r="E19" s="35" t="s">
        <v>289</v>
      </c>
      <c r="F19" s="33" t="s">
        <v>28</v>
      </c>
      <c r="G19" s="20"/>
      <c r="H19" s="21"/>
      <c r="I19" s="22"/>
    </row>
    <row r="20" spans="1:9" ht="16">
      <c r="A20" s="14">
        <v>16</v>
      </c>
      <c r="B20" s="18" t="s">
        <v>286</v>
      </c>
      <c r="C20" s="16" t="s">
        <v>290</v>
      </c>
      <c r="D20" s="23" t="s">
        <v>291</v>
      </c>
      <c r="E20" s="23" t="s">
        <v>292</v>
      </c>
      <c r="F20" s="18" t="s">
        <v>28</v>
      </c>
      <c r="G20" s="20"/>
      <c r="H20" s="21"/>
      <c r="I20" s="22"/>
    </row>
    <row r="21" spans="1:9" ht="16">
      <c r="A21" s="32">
        <v>17</v>
      </c>
      <c r="B21" s="33" t="s">
        <v>286</v>
      </c>
      <c r="C21" s="38" t="s">
        <v>293</v>
      </c>
      <c r="D21" s="44" t="s">
        <v>294</v>
      </c>
      <c r="E21" s="35" t="s">
        <v>295</v>
      </c>
      <c r="F21" s="33" t="s">
        <v>28</v>
      </c>
      <c r="G21" s="20"/>
      <c r="H21" s="21"/>
      <c r="I21" s="22"/>
    </row>
    <row r="22" spans="1:9">
      <c r="F22" s="39" t="s">
        <v>296</v>
      </c>
      <c r="G22" s="40" t="str">
        <f>COUNTIF(G5:G21,"정상")&amp;" / "&amp;COUNTA(A5:A21)</f>
        <v>0 / 17</v>
      </c>
    </row>
  </sheetData>
  <mergeCells count="2">
    <mergeCell ref="A1:I1"/>
    <mergeCell ref="A2:I2"/>
  </mergeCells>
  <phoneticPr fontId="25" type="noConversion"/>
  <conditionalFormatting sqref="G5:G21">
    <cfRule type="cellIs" dxfId="1" priority="2" operator="equal">
      <formula>"정상"</formula>
    </cfRule>
    <cfRule type="cellIs" dxfId="0" priority="3" operator="equal">
      <formula>"이상"</formula>
    </cfRule>
  </conditionalFormatting>
  <dataValidations count="1">
    <dataValidation type="list" allowBlank="1" sqref="G5:G21" xr:uid="{00000000-0002-0000-0300-000000000000}">
      <formula1>"정상,이상,미확인,해당없음"</formula1>
      <formula2>0</formula2>
    </dataValidation>
  </dataValidations>
  <printOptions horizontalCentered="1"/>
  <pageMargins left="0.3" right="0.3" top="0.4" bottom="0.4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25"/>
  <sheetViews>
    <sheetView showGridLines="0" zoomScaleNormal="100" workbookViewId="0">
      <pane ySplit="4" topLeftCell="A5" activePane="bottomLeft" state="frozen"/>
      <selection pane="bottomLeft" sqref="A1:I1"/>
    </sheetView>
  </sheetViews>
  <sheetFormatPr baseColWidth="10" defaultColWidth="8.6640625" defaultRowHeight="15"/>
  <cols>
    <col min="1" max="1" width="5" customWidth="1"/>
    <col min="2" max="2" width="16" customWidth="1"/>
    <col min="3" max="4" width="26" customWidth="1"/>
    <col min="5" max="5" width="12" customWidth="1"/>
    <col min="6" max="7" width="10" customWidth="1"/>
    <col min="8" max="8" width="30" customWidth="1"/>
    <col min="9" max="9" width="20" customWidth="1"/>
  </cols>
  <sheetData>
    <row r="1" spans="1:9" ht="25.5" customHeight="1">
      <c r="A1" s="3" t="s">
        <v>297</v>
      </c>
      <c r="B1" s="3"/>
      <c r="C1" s="3"/>
      <c r="D1" s="3"/>
      <c r="E1" s="3"/>
      <c r="F1" s="3"/>
      <c r="G1" s="3"/>
      <c r="H1" s="3"/>
      <c r="I1" s="3"/>
    </row>
    <row r="2" spans="1:9" ht="18" customHeight="1">
      <c r="A2" s="7" t="s">
        <v>298</v>
      </c>
      <c r="B2" s="7"/>
      <c r="C2" s="7"/>
      <c r="D2" s="7"/>
      <c r="E2" s="7"/>
      <c r="F2" s="7"/>
      <c r="G2" s="7"/>
      <c r="H2" s="7"/>
      <c r="I2" s="7"/>
    </row>
    <row r="4" spans="1:9" ht="30" customHeight="1">
      <c r="A4" s="12" t="s">
        <v>7</v>
      </c>
      <c r="B4" s="13" t="s">
        <v>160</v>
      </c>
      <c r="C4" s="13" t="s">
        <v>299</v>
      </c>
      <c r="D4" s="13" t="s">
        <v>300</v>
      </c>
      <c r="E4" s="13" t="s">
        <v>301</v>
      </c>
      <c r="F4" s="13" t="s">
        <v>302</v>
      </c>
      <c r="G4" s="13" t="s">
        <v>303</v>
      </c>
      <c r="H4" s="13" t="s">
        <v>304</v>
      </c>
      <c r="I4" s="13" t="s">
        <v>164</v>
      </c>
    </row>
    <row r="5" spans="1:9">
      <c r="A5" s="32">
        <v>1</v>
      </c>
      <c r="B5" s="33" t="s">
        <v>305</v>
      </c>
      <c r="C5" s="34" t="s">
        <v>306</v>
      </c>
      <c r="D5" s="22"/>
      <c r="E5" s="20"/>
      <c r="F5" s="32">
        <v>1</v>
      </c>
      <c r="G5" s="32">
        <v>12</v>
      </c>
      <c r="H5" s="35" t="s">
        <v>307</v>
      </c>
      <c r="I5" s="22"/>
    </row>
    <row r="6" spans="1:9" ht="16">
      <c r="A6" s="14">
        <v>2</v>
      </c>
      <c r="B6" s="18" t="s">
        <v>305</v>
      </c>
      <c r="C6" s="16" t="s">
        <v>308</v>
      </c>
      <c r="D6" s="22"/>
      <c r="E6" s="20"/>
      <c r="F6" s="14">
        <v>2</v>
      </c>
      <c r="G6" s="14">
        <v>13</v>
      </c>
      <c r="H6" s="17" t="s">
        <v>309</v>
      </c>
      <c r="I6" s="22"/>
    </row>
    <row r="7" spans="1:9" ht="16">
      <c r="A7" s="32">
        <v>3</v>
      </c>
      <c r="B7" s="33" t="s">
        <v>305</v>
      </c>
      <c r="C7" s="34" t="s">
        <v>310</v>
      </c>
      <c r="D7" s="22"/>
      <c r="E7" s="20"/>
      <c r="F7" s="32">
        <v>3</v>
      </c>
      <c r="G7" s="32">
        <v>14</v>
      </c>
      <c r="H7" s="35" t="s">
        <v>311</v>
      </c>
      <c r="I7" s="22"/>
    </row>
    <row r="8" spans="1:9" ht="16">
      <c r="A8" s="14">
        <v>4</v>
      </c>
      <c r="B8" s="14" t="s">
        <v>312</v>
      </c>
      <c r="C8" s="24" t="s">
        <v>313</v>
      </c>
      <c r="D8" s="22"/>
      <c r="E8" s="20"/>
      <c r="F8" s="14">
        <v>4</v>
      </c>
      <c r="G8" s="14">
        <v>10</v>
      </c>
      <c r="H8" s="17" t="s">
        <v>314</v>
      </c>
      <c r="I8" s="22"/>
    </row>
    <row r="9" spans="1:9" ht="16">
      <c r="A9" s="32">
        <v>5</v>
      </c>
      <c r="B9" s="32" t="s">
        <v>312</v>
      </c>
      <c r="C9" s="38" t="s">
        <v>315</v>
      </c>
      <c r="D9" s="22"/>
      <c r="E9" s="20"/>
      <c r="F9" s="32">
        <v>5</v>
      </c>
      <c r="G9" s="32">
        <v>11</v>
      </c>
      <c r="H9" s="35" t="s">
        <v>314</v>
      </c>
      <c r="I9" s="22"/>
    </row>
    <row r="10" spans="1:9" ht="30">
      <c r="A10" s="14">
        <v>6</v>
      </c>
      <c r="B10" s="14" t="s">
        <v>312</v>
      </c>
      <c r="C10" s="24" t="s">
        <v>316</v>
      </c>
      <c r="D10" s="22"/>
      <c r="E10" s="20"/>
      <c r="F10" s="14">
        <v>11</v>
      </c>
      <c r="G10" s="14">
        <v>4</v>
      </c>
      <c r="H10" s="23" t="s">
        <v>317</v>
      </c>
      <c r="I10" s="22"/>
    </row>
    <row r="11" spans="1:9" ht="16">
      <c r="A11" s="32">
        <v>7</v>
      </c>
      <c r="B11" s="32" t="s">
        <v>318</v>
      </c>
      <c r="C11" s="38" t="s">
        <v>319</v>
      </c>
      <c r="D11" s="22"/>
      <c r="E11" s="20"/>
      <c r="F11" s="32">
        <v>6</v>
      </c>
      <c r="G11" s="32">
        <v>6</v>
      </c>
      <c r="H11" s="35" t="s">
        <v>314</v>
      </c>
      <c r="I11" s="22"/>
    </row>
    <row r="12" spans="1:9" ht="16">
      <c r="A12" s="14">
        <v>8</v>
      </c>
      <c r="B12" s="14" t="s">
        <v>318</v>
      </c>
      <c r="C12" s="24" t="s">
        <v>320</v>
      </c>
      <c r="D12" s="22"/>
      <c r="E12" s="20"/>
      <c r="F12" s="14">
        <v>7</v>
      </c>
      <c r="G12" s="14">
        <v>7</v>
      </c>
      <c r="H12" s="17" t="s">
        <v>314</v>
      </c>
      <c r="I12" s="22"/>
    </row>
    <row r="13" spans="1:9" ht="16">
      <c r="A13" s="32">
        <v>9</v>
      </c>
      <c r="B13" s="32" t="s">
        <v>318</v>
      </c>
      <c r="C13" s="38" t="s">
        <v>321</v>
      </c>
      <c r="D13" s="22"/>
      <c r="E13" s="20"/>
      <c r="F13" s="32">
        <v>8</v>
      </c>
      <c r="G13" s="32">
        <v>8</v>
      </c>
      <c r="H13" s="35" t="s">
        <v>314</v>
      </c>
      <c r="I13" s="22"/>
    </row>
    <row r="14" spans="1:9" ht="16">
      <c r="A14" s="14">
        <v>10</v>
      </c>
      <c r="B14" s="14" t="s">
        <v>318</v>
      </c>
      <c r="C14" s="24" t="s">
        <v>322</v>
      </c>
      <c r="D14" s="22"/>
      <c r="E14" s="20"/>
      <c r="F14" s="14">
        <v>9</v>
      </c>
      <c r="G14" s="14">
        <v>5</v>
      </c>
      <c r="H14" s="17" t="s">
        <v>323</v>
      </c>
      <c r="I14" s="22"/>
    </row>
    <row r="15" spans="1:9" ht="16">
      <c r="A15" s="32">
        <v>11</v>
      </c>
      <c r="B15" s="32" t="s">
        <v>318</v>
      </c>
      <c r="C15" s="38" t="s">
        <v>324</v>
      </c>
      <c r="D15" s="22"/>
      <c r="E15" s="20"/>
      <c r="F15" s="32">
        <v>10</v>
      </c>
      <c r="G15" s="32">
        <v>9</v>
      </c>
      <c r="H15" s="35" t="s">
        <v>325</v>
      </c>
      <c r="I15" s="22"/>
    </row>
    <row r="16" spans="1:9" ht="16">
      <c r="A16" s="14">
        <v>12</v>
      </c>
      <c r="B16" s="18" t="s">
        <v>172</v>
      </c>
      <c r="C16" s="24" t="s">
        <v>326</v>
      </c>
      <c r="D16" s="22"/>
      <c r="E16" s="20"/>
      <c r="F16" s="14">
        <v>12</v>
      </c>
      <c r="G16" s="14">
        <v>2</v>
      </c>
      <c r="H16" s="17" t="s">
        <v>327</v>
      </c>
      <c r="I16" s="22"/>
    </row>
    <row r="17" spans="1:9" ht="16">
      <c r="A17" s="32">
        <v>13</v>
      </c>
      <c r="B17" s="33" t="s">
        <v>172</v>
      </c>
      <c r="C17" s="38" t="s">
        <v>328</v>
      </c>
      <c r="D17" s="22"/>
      <c r="E17" s="20"/>
      <c r="F17" s="32">
        <v>13</v>
      </c>
      <c r="G17" s="32">
        <v>3</v>
      </c>
      <c r="H17" s="35" t="s">
        <v>329</v>
      </c>
      <c r="I17" s="22"/>
    </row>
    <row r="18" spans="1:9" ht="16">
      <c r="A18" s="14">
        <v>14</v>
      </c>
      <c r="B18" s="18" t="s">
        <v>172</v>
      </c>
      <c r="C18" s="24" t="s">
        <v>330</v>
      </c>
      <c r="D18" s="22"/>
      <c r="E18" s="20"/>
      <c r="F18" s="14">
        <v>14</v>
      </c>
      <c r="G18" s="14">
        <v>1</v>
      </c>
      <c r="H18" s="17" t="s">
        <v>331</v>
      </c>
      <c r="I18" s="22"/>
    </row>
    <row r="19" spans="1:9" ht="16">
      <c r="A19" s="32">
        <v>15</v>
      </c>
      <c r="B19" s="33" t="s">
        <v>273</v>
      </c>
      <c r="C19" s="38" t="s">
        <v>332</v>
      </c>
      <c r="D19" s="22"/>
      <c r="E19" s="20"/>
      <c r="F19" s="32"/>
      <c r="G19" s="32"/>
      <c r="H19" s="44" t="s">
        <v>333</v>
      </c>
      <c r="I19" s="22"/>
    </row>
    <row r="20" spans="1:9" ht="16">
      <c r="A20" s="14">
        <v>16</v>
      </c>
      <c r="B20" s="18" t="s">
        <v>273</v>
      </c>
      <c r="C20" s="24" t="s">
        <v>334</v>
      </c>
      <c r="D20" s="22"/>
      <c r="E20" s="20"/>
      <c r="F20" s="14"/>
      <c r="G20" s="14"/>
      <c r="H20" s="23" t="s">
        <v>333</v>
      </c>
      <c r="I20" s="22"/>
    </row>
    <row r="22" spans="1:9">
      <c r="A22" s="29" t="s">
        <v>335</v>
      </c>
    </row>
    <row r="23" spans="1:9">
      <c r="A23" s="30" t="s">
        <v>336</v>
      </c>
    </row>
    <row r="24" spans="1:9">
      <c r="A24" s="30" t="s">
        <v>337</v>
      </c>
    </row>
    <row r="25" spans="1:9">
      <c r="A25" s="30" t="s">
        <v>338</v>
      </c>
    </row>
  </sheetData>
  <mergeCells count="2">
    <mergeCell ref="A1:I1"/>
    <mergeCell ref="A2:I2"/>
  </mergeCells>
  <phoneticPr fontId="25" type="noConversion"/>
  <printOptions horizontalCentered="1"/>
  <pageMargins left="0.3" right="0.3" top="0.4" bottom="0.4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1.배포 체크리스트</vt:lpstr>
      <vt:lpstr>2.사전 준비(D-1)</vt:lpstr>
      <vt:lpstr>3.롤백 절차</vt:lpstr>
      <vt:lpstr>4.배포 후 검증(QA)</vt:lpstr>
      <vt:lpstr>5.서비스 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노 성남</cp:lastModifiedBy>
  <cp:revision>0</cp:revision>
  <dcterms:created xsi:type="dcterms:W3CDTF">2026-09-06T11:33:37Z</dcterms:created>
  <dcterms:modified xsi:type="dcterms:W3CDTF">2026-09-06T11:37:04Z</dcterms:modified>
  <dc:language>en-US</dc:language>
</cp:coreProperties>
</file>