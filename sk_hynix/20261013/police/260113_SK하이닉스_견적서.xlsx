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DA2E6813-F986-48F6-B762-1F6B62AC79DA}" xr6:coauthVersionLast="47" xr6:coauthVersionMax="47" xr10:uidLastSave="{00000000-0000-0000-0000-000000000000}"/>
  <bookViews>
    <workbookView xWindow="43704" yWindow="0" windowWidth="21672" windowHeight="16656" xr2:uid="{00000000-000D-0000-FFFF-FFFF00000000}"/>
  </bookViews>
  <sheets>
    <sheet name="SK하이닉스 2026 견적" sheetId="26" r:id="rId1"/>
  </sheets>
  <definedNames>
    <definedName name="_xlnm.Print_Area" localSheetId="0">'SK하이닉스 2026 견적'!$A$1:$M$33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26" l="1"/>
  <c r="K26" i="26" l="1"/>
  <c r="K25" i="26"/>
  <c r="K29" i="26"/>
  <c r="K28" i="26"/>
  <c r="K27" i="26"/>
  <c r="K24" i="26"/>
  <c r="K23" i="26"/>
  <c r="K22" i="26"/>
  <c r="K21" i="26"/>
  <c r="K20" i="26"/>
  <c r="K19" i="26"/>
  <c r="K18" i="26"/>
  <c r="K17" i="26"/>
  <c r="K16" i="26"/>
  <c r="K15" i="26"/>
  <c r="K14" i="26"/>
  <c r="K13" i="26"/>
  <c r="K31" i="26" l="1"/>
  <c r="K32" i="26" s="1"/>
  <c r="K33" i="26" s="1"/>
</calcChain>
</file>

<file path=xl/sharedStrings.xml><?xml version="1.0" encoding="utf-8"?>
<sst xmlns="http://schemas.openxmlformats.org/spreadsheetml/2006/main" count="70" uniqueCount="51">
  <si>
    <t>견   적   서</t>
    <phoneticPr fontId="2" type="noConversion"/>
  </si>
  <si>
    <t>수        신</t>
    <phoneticPr fontId="2" type="noConversion"/>
  </si>
  <si>
    <t>SKT</t>
    <phoneticPr fontId="2" type="noConversion"/>
  </si>
  <si>
    <t>견   적   명</t>
    <phoneticPr fontId="2" type="noConversion"/>
  </si>
  <si>
    <t>견 적 번 호</t>
    <phoneticPr fontId="2" type="noConversion"/>
  </si>
  <si>
    <t>* 발행일로부터 30일간 유효합니다</t>
    <phoneticPr fontId="2" type="noConversion"/>
  </si>
  <si>
    <t>* 아래와 같이 견적합니다</t>
    <phoneticPr fontId="2" type="noConversion"/>
  </si>
  <si>
    <t>품 명</t>
    <phoneticPr fontId="2" type="noConversion"/>
  </si>
  <si>
    <t>제  품  사  양</t>
    <phoneticPr fontId="2" type="noConversion"/>
  </si>
  <si>
    <t>수량</t>
    <phoneticPr fontId="2" type="noConversion"/>
  </si>
  <si>
    <t>단위</t>
    <phoneticPr fontId="2" type="noConversion"/>
  </si>
  <si>
    <t>공급단가(원)</t>
    <phoneticPr fontId="2" type="noConversion"/>
  </si>
  <si>
    <t>공급가(원)</t>
    <phoneticPr fontId="2" type="noConversion"/>
  </si>
  <si>
    <t>비 고</t>
    <phoneticPr fontId="2" type="noConversion"/>
  </si>
  <si>
    <t>AI 회의록 솔루션</t>
    <phoneticPr fontId="2" type="noConversion"/>
  </si>
  <si>
    <t>완전유지보수</t>
    <phoneticPr fontId="2" type="noConversion"/>
  </si>
  <si>
    <t xml:space="preserve">&gt;보안 기능 강화/완화 요청  
 - 보안 관련 신규 기능 요청 </t>
    <phoneticPr fontId="2" type="noConversion"/>
  </si>
  <si>
    <t>MM</t>
    <phoneticPr fontId="2" type="noConversion"/>
  </si>
  <si>
    <r>
      <rPr>
        <sz val="12"/>
        <color rgb="FF000000"/>
        <rFont val="KoPubWorld돋움체 Medium"/>
        <family val="3"/>
        <charset val="129"/>
      </rPr>
      <t xml:space="preserve">&gt; STT, 화자분리 유지 보수
  * STT 엔진 변경: 업데이트 지원
 </t>
    </r>
    <r>
      <rPr>
        <sz val="12"/>
        <color rgb="FFC00000"/>
        <rFont val="KoPubWorld돋움체 Medium"/>
        <family val="3"/>
        <charset val="129"/>
      </rPr>
      <t xml:space="preserve"> * 화자분리 정확도 개선</t>
    </r>
  </si>
  <si>
    <t>적응유지보수</t>
  </si>
  <si>
    <t>&gt; 보안 요건 변화 대응
  * 보안 요건 변화에 따른 공지 방식 변경 요청 (Web/Mobile)</t>
    <phoneticPr fontId="2" type="noConversion"/>
  </si>
  <si>
    <t>&gt; 모바일 환경 변화 대응
  - 초기 보안 이슈로 제거한 기능(모바일 회의내용 조회 / Web과 같은 다운로드 기능 추가등) 선택적 허용 (Mobile)
  - iOS/Android 버전 업데이트에 따른 대응 
  (마이크 권한 , 파일 접근 제한 강화 등)
  - 취약점 패치, 각종 규제 변경에 따른 대응
  - 신규 기기 대응 
 ( 화면크기, 해상도, 노치/펀치홀 구조, 멀티태스킹 UI대응)
  - UI변경을 위한 기획, 디자인 , 협의 포함</t>
  </si>
  <si>
    <t>&gt; 웹/모바일 기술 응대
  - 사용자 문의 대응, 기술 지원</t>
    <phoneticPr fontId="2" type="noConversion"/>
  </si>
  <si>
    <t>- SM 상주 인력 포함</t>
    <phoneticPr fontId="2" type="noConversion"/>
  </si>
  <si>
    <t>&gt; LLM 엔진 변경에 따른 지원
  * Open AI API호출 형식을 지원하지 않고 독자 Spec인 경우
  * 신규 Spec에 맞추어 회의록 변경</t>
  </si>
  <si>
    <t>0. 다국어
 - 언어
    - 일본어
 - 음향 모델 학습 (200시간)
    - 일본어</t>
    <phoneticPr fontId="2" type="noConversion"/>
  </si>
  <si>
    <t>식</t>
    <phoneticPr fontId="2" type="noConversion"/>
  </si>
  <si>
    <t>1. 다국어
 - 언어
    - 중국어
 - 음향 모델 학습  (200시간)
    - 중국어</t>
  </si>
  <si>
    <t>소계</t>
    <phoneticPr fontId="2" type="noConversion"/>
  </si>
  <si>
    <t>* 본 견적서의 유효기한은 1개월입니다.</t>
    <phoneticPr fontId="2" type="noConversion"/>
  </si>
  <si>
    <t>합  계</t>
    <phoneticPr fontId="2" type="noConversion"/>
  </si>
  <si>
    <t>부가세 10%</t>
    <phoneticPr fontId="2" type="noConversion"/>
  </si>
  <si>
    <t>총  계</t>
    <phoneticPr fontId="2" type="noConversion"/>
  </si>
  <si>
    <t>&gt; UI/UX 단순 변경
   * 버튼명, 라벨, 메시지 텍스트 수정
   * 컬러/아이콘 교체
   * 화면 배치의 소폭 변경
&gt; 기능 옵션 노출 제어
   * 내부 정책 반영 설정값(파라미터) 변경
&gt; 단순 조회/표시 개선
   * 데이터 컬럼 추가
   * 검색 필터 조건 변경:  검색어, 회의 시점, 참석자 등 다양한 필터로 회의록 검색
   * 다운로드 시 파일명 규칙 변경</t>
    <phoneticPr fontId="2" type="noConversion"/>
  </si>
  <si>
    <r>
      <rPr>
        <sz val="12"/>
        <color rgb="FF000000"/>
        <rFont val="KoPubWorld돋움체 Medium"/>
        <family val="3"/>
        <charset val="129"/>
      </rPr>
      <t xml:space="preserve">&gt; 회의실 구성 변경 및 마이크 이슈 대응
  - SM 상주 인력 모니터링 및 지원
  - 회의실 마이크 변경
  - </t>
    </r>
    <r>
      <rPr>
        <sz val="12"/>
        <color rgb="FFFF0000"/>
        <rFont val="KoPubWorld돋움체 Medium"/>
        <family val="3"/>
        <charset val="129"/>
      </rPr>
      <t xml:space="preserve">자브라 마이크 수음 품질 개선
</t>
    </r>
    <r>
      <rPr>
        <sz val="12"/>
        <color rgb="FF000000"/>
        <rFont val="KoPubWorld돋움체 Medium"/>
        <family val="3"/>
        <charset val="129"/>
      </rPr>
      <t xml:space="preserve">  - 마이크 펌웨어 업데이트 등 설정변경 (설치 마이크 전체)</t>
    </r>
    <phoneticPr fontId="2" type="noConversion"/>
  </si>
  <si>
    <r>
      <rPr>
        <sz val="12"/>
        <color rgb="FF000000"/>
        <rFont val="KoPubWorld돋움체 Medium"/>
        <family val="3"/>
        <charset val="129"/>
      </rPr>
      <t xml:space="preserve">&gt; 기능 구조 변경/추가 
   * 기존 I/F 구조 신규/ 변경 
   * 새로운 데이터 저장/조회 로직 추가 (DB Table/Column 신규/변경)
   * UI/UX 신규/ 변경
   * API 신규/ 변경
&gt; 성능 관련 개선 
   * 대량 데이터 처리 속도 개선 
&gt; 업무 프로세스 반영을 위한 추가 개발
  </t>
    </r>
    <r>
      <rPr>
        <sz val="12"/>
        <color rgb="FFC00000"/>
        <rFont val="KoPubWorld돋움체 Medium"/>
        <family val="3"/>
        <charset val="129"/>
      </rPr>
      <t xml:space="preserve">* My Access : 웹과 모바일의 권한을 담당승인으로 통합할 수 있도록 my access와 표준연결을 통한 솔루션의 시스템화  ex. GAIA 시스템 권한 신청 방법
</t>
    </r>
    <r>
      <rPr>
        <sz val="12"/>
        <color rgb="FF000000"/>
        <rFont val="KoPubWorld돋움체 Medium"/>
        <family val="3"/>
        <charset val="129"/>
      </rPr>
      <t xml:space="preserve">  * 컴플라이언스 요건 반영 
  * 기존 회의록 프로세스와 연동되는 신규 업무 흐름 추가 개발</t>
    </r>
    <phoneticPr fontId="2" type="noConversion"/>
  </si>
  <si>
    <t>권한 관리 
  &gt; My Access 연동 - 완전 유지보수 업무 프로세스(상동)
  &gt; 구성원, 조직별 역할 관리
    :원본 다운로드, 업로드 등 기존 제한된 권한의 선택적 부여
  - RBAC(역할 기반) 적용
  - 리소스별 권한 매트릭스 적용 
  - 리소스 접근 제어(Ownership)
  - 공유 레벨[Private | Team | Public link(만료 및 비번 설정)]
  - 감사로그(Audit Log) 적용</t>
    <phoneticPr fontId="2" type="noConversion"/>
  </si>
  <si>
    <t>설치형 녹음기
  - Always on Top 형태 개발 
  - Zoom, WebEx 등 PC Application 의 Audio In/Out 녹음가능
  - 다른 화면을 보면서 미팅을 진행하더라도 '항상 위에 고정된' 녹음 App. 을 통해 녹음 상태를 확인 가능
  - 메모 기능</t>
    <phoneticPr fontId="2" type="noConversion"/>
  </si>
  <si>
    <t>키워드부스터
  - 오인식 및 전문용어 개인 단어 등록 인식률 개선
  - 사용자 설정 UI 제공 (100개 단어 제한)
  - 고유명사, 전문용어, 약어 등 등록 기능
  - 개별적인 등록 및 적용 기능</t>
    <phoneticPr fontId="2" type="noConversion"/>
  </si>
  <si>
    <t>모바일녹음기
- 여러 대의 모바일 기기를 통한 참석한 회의를 동시 녹음 기능
- 모바일  
   - 회의 호스트 기능 
   - 세션 생성 및 유지
   - 음성 후처리(재 정렬 기능, pause, resume 및 각 interrupt 제어 ) 각 AOS, iOS native 개발
-  서버 (모바일 통합 녹음 후처리 용)
   - 오디오 정렬 기능 
   - 각 트랙 노멀라이즈 기능 
   - 각 트랙 믹스 후 diarization 
   - 타임라인 병합</t>
    <phoneticPr fontId="2" type="noConversion"/>
  </si>
  <si>
    <t>검색 고도화 
  - 검색 UX 향상 
  - 형태소 분석 기능
  - n-gram 인덱싱 기능</t>
    <phoneticPr fontId="2" type="noConversion"/>
  </si>
  <si>
    <t xml:space="preserve">솔루션
</t>
    <phoneticPr fontId="2" type="noConversion"/>
  </si>
  <si>
    <t>- 완전유지보수 중 솔루션 설치 부분 포함</t>
    <phoneticPr fontId="2" type="noConversion"/>
  </si>
  <si>
    <t>- Site License
 - 학습 포함</t>
  </si>
  <si>
    <t>- Site License</t>
  </si>
  <si>
    <t xml:space="preserve">자체 학습 솔루션 제공
  - 음향 모델 학습 툴 제공 
  - 음성인식 평가 툴 제공
  - 오인식 텍스트 정답지 수정 리스트 음성 및 텍스트 추출 학습데이터 활용
  - 음향 모델 데이터 가공을한 전사 가이드 (하이닉스 내부인력 활용)
  - 음향 모델 학습 전사 데이터 검수 및 피드백 (팀벨 인력 투입)
  - 신조어, 오인식 단어 및 전문용어 TTS 음향 모델 증강 학습
  - 자체 학습을 통해 성능을 향상 시킬 수 있는 기술 교육 제공 </t>
    <phoneticPr fontId="2" type="noConversion"/>
  </si>
  <si>
    <t>- Site License</t>
    <phoneticPr fontId="2" type="noConversion"/>
  </si>
  <si>
    <t>- TTS 엔진  Site License 포함</t>
    <phoneticPr fontId="2" type="noConversion"/>
  </si>
  <si>
    <t>솔루션사업부 이상우 이사</t>
    <phoneticPr fontId="2" type="noConversion"/>
  </si>
  <si>
    <t>swlee@timbel.net, 010-8192-2222</t>
    <phoneticPr fontId="2" type="noConversion"/>
  </si>
  <si>
    <t>SK하이닉스 2026 AI회의록 견적서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</si>
</sst>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"/>
    <numFmt numFmtId="177" formatCode="_-&quot;₩&quot;* #,##0_-;\-&quot;₩&quot;* #,##0_-;_-&quot;₩&quot;* &quot;-&quot;?_-;_-@_-"/>
  </numFmts>
  <fonts count="34">
    <font>
      <sz val="11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KoPubWorld돋움체 Medium"/>
      <family val="3"/>
      <charset val="129"/>
    </font>
    <font>
      <sz val="10"/>
      <color indexed="8"/>
      <name val="KoPubWorld돋움체 Medium"/>
      <family val="3"/>
      <charset val="129"/>
    </font>
    <font>
      <b/>
      <sz val="9"/>
      <color indexed="8"/>
      <name val="KoPubWorld돋움체 Medium"/>
      <family val="3"/>
      <charset val="129"/>
    </font>
    <font>
      <b/>
      <sz val="8"/>
      <color indexed="8"/>
      <name val="KoPubWorld돋움체 Medium"/>
      <family val="3"/>
      <charset val="129"/>
    </font>
    <font>
      <sz val="12"/>
      <color indexed="8"/>
      <name val="KoPubWorld돋움체 Medium"/>
      <family val="3"/>
      <charset val="129"/>
    </font>
    <font>
      <sz val="9"/>
      <color indexed="8"/>
      <name val="KoPubWorld돋움체 Medium"/>
      <family val="3"/>
      <charset val="129"/>
    </font>
    <font>
      <b/>
      <sz val="28"/>
      <color rgb="FF000000"/>
      <name val="KoPubWorld돋움체 Medium"/>
      <family val="3"/>
      <charset val="129"/>
    </font>
    <font>
      <sz val="6"/>
      <color indexed="8"/>
      <name val="KoPubWorld돋움체 Medium"/>
      <family val="3"/>
      <charset val="129"/>
    </font>
    <font>
      <b/>
      <sz val="6"/>
      <color indexed="8"/>
      <name val="KoPubWorld돋움체 Medium"/>
      <family val="3"/>
      <charset val="129"/>
    </font>
    <font>
      <sz val="9"/>
      <color theme="0" tint="-0.499984740745262"/>
      <name val="KoPubWorld돋움체 Medium"/>
      <family val="3"/>
      <charset val="129"/>
    </font>
    <font>
      <u/>
      <sz val="11"/>
      <color theme="10"/>
      <name val="돋움"/>
      <family val="3"/>
      <charset val="129"/>
    </font>
    <font>
      <sz val="12"/>
      <color theme="1" tint="0.499984740745262"/>
      <name val="KoPubWorld돋움체 Medium"/>
      <family val="3"/>
      <charset val="129"/>
    </font>
    <font>
      <sz val="11"/>
      <color theme="1"/>
      <name val="KoPubWorld돋움체 Medium"/>
      <family val="3"/>
      <charset val="129"/>
    </font>
    <font>
      <sz val="12"/>
      <color theme="1"/>
      <name val="KoPubWorld돋움체 Medium"/>
      <family val="3"/>
      <charset val="129"/>
    </font>
    <font>
      <b/>
      <sz val="16"/>
      <color theme="1"/>
      <name val="KoPubWorld돋움체 Medium"/>
      <family val="3"/>
      <charset val="129"/>
    </font>
    <font>
      <sz val="12"/>
      <color theme="1" tint="0.499984740745262"/>
      <name val="KoPub돋움체 Medium"/>
      <family val="3"/>
      <charset val="129"/>
    </font>
    <font>
      <sz val="12"/>
      <color indexed="8"/>
      <name val="KoPub돋움체 Medium"/>
      <family val="3"/>
      <charset val="129"/>
    </font>
    <font>
      <sz val="12"/>
      <color theme="1" tint="0.34998626667073579"/>
      <name val="KoPub돋움체 Medium"/>
      <family val="3"/>
      <charset val="129"/>
    </font>
    <font>
      <sz val="14"/>
      <color theme="1" tint="0.249977111117893"/>
      <name val="KoPub돋움체 Medium"/>
      <family val="3"/>
      <charset val="129"/>
    </font>
    <font>
      <b/>
      <sz val="16"/>
      <color theme="1" tint="0.249977111117893"/>
      <name val="KoPubWorld돋움체 Medium"/>
      <family val="3"/>
      <charset val="129"/>
    </font>
    <font>
      <sz val="16"/>
      <color theme="1" tint="0.249977111117893"/>
      <name val="KoPubWorld돋움체 Medium"/>
      <family val="3"/>
      <charset val="129"/>
    </font>
    <font>
      <b/>
      <sz val="18"/>
      <color theme="1"/>
      <name val="KoPubWorld돋움체 Medium"/>
      <family val="3"/>
      <charset val="129"/>
    </font>
    <font>
      <sz val="22"/>
      <color theme="1"/>
      <name val="KoPubWorld돋움체 Medium"/>
      <family val="3"/>
      <charset val="129"/>
    </font>
    <font>
      <b/>
      <sz val="12"/>
      <color theme="1"/>
      <name val="KoPubWorld돋움체 Medium"/>
      <family val="3"/>
      <charset val="129"/>
    </font>
    <font>
      <sz val="12"/>
      <color theme="1" tint="0.249977111117893"/>
      <name val="KoPubWorld돋움체 Medium"/>
      <family val="3"/>
      <charset val="129"/>
    </font>
    <font>
      <b/>
      <sz val="12"/>
      <color rgb="FFFF0000"/>
      <name val="KoPubWorld돋움체 Medium"/>
      <family val="3"/>
      <charset val="129"/>
    </font>
    <font>
      <sz val="12"/>
      <color theme="1"/>
      <name val="DotumChe"/>
      <family val="3"/>
      <charset val="129"/>
    </font>
    <font>
      <sz val="12"/>
      <color rgb="FF000000"/>
      <name val="KoPubWorld돋움체 Medium"/>
      <family val="3"/>
      <charset val="129"/>
    </font>
    <font>
      <sz val="12"/>
      <color rgb="FFC00000"/>
      <name val="KoPubWorld돋움체 Medium"/>
      <family val="3"/>
      <charset val="129"/>
    </font>
    <font>
      <sz val="12"/>
      <color theme="1"/>
      <name val="KoPubWorld돋움체 Medium"/>
      <family val="3"/>
      <charset val="129"/>
    </font>
    <font>
      <sz val="12"/>
      <color rgb="FFFF0000"/>
      <name val="KoPubWorld돋움체 Medium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rgb="FFFFFFC5"/>
        <bgColor indexed="0"/>
      </patternFill>
    </fill>
  </fills>
  <borders count="23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/>
      <diagonal/>
    </border>
    <border>
      <left/>
      <right style="thin">
        <color theme="1" tint="0.24994659260841701"/>
      </right>
      <top/>
      <bottom/>
      <diagonal/>
    </border>
    <border>
      <left style="thin">
        <color theme="1" tint="0.24994659260841701"/>
      </left>
      <right/>
      <top/>
      <bottom style="thin">
        <color theme="0" tint="-0.24994659260841701"/>
      </bottom>
      <diagonal/>
    </border>
    <border>
      <left style="thin">
        <color theme="1" tint="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3" fontId="15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14" fontId="12" fillId="0" borderId="5" xfId="0" applyNumberFormat="1" applyFont="1" applyBorder="1"/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7" xfId="0" applyFont="1" applyBorder="1" applyAlignment="1">
      <alignment horizontal="right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41" fontId="16" fillId="0" borderId="0" xfId="1" applyFont="1" applyAlignment="1">
      <alignment vertical="center"/>
    </xf>
    <xf numFmtId="41" fontId="25" fillId="0" borderId="0" xfId="0" applyNumberFormat="1" applyFont="1" applyAlignment="1">
      <alignment vertical="center"/>
    </xf>
    <xf numFmtId="0" fontId="24" fillId="6" borderId="10" xfId="0" applyFont="1" applyFill="1" applyBorder="1" applyAlignment="1">
      <alignment horizontal="center" vertical="center"/>
    </xf>
    <xf numFmtId="41" fontId="24" fillId="6" borderId="10" xfId="1" applyFont="1" applyFill="1" applyBorder="1" applyAlignment="1">
      <alignment horizontal="center" vertical="center"/>
    </xf>
    <xf numFmtId="0" fontId="16" fillId="0" borderId="10" xfId="1" applyNumberFormat="1" applyFont="1" applyFill="1" applyBorder="1" applyAlignment="1">
      <alignment horizontal="center" vertical="center"/>
    </xf>
    <xf numFmtId="177" fontId="16" fillId="0" borderId="10" xfId="0" quotePrefix="1" applyNumberFormat="1" applyFont="1" applyBorder="1" applyAlignment="1">
      <alignment vertical="center" wrapText="1"/>
    </xf>
    <xf numFmtId="49" fontId="16" fillId="5" borderId="10" xfId="1" quotePrefix="1" applyNumberFormat="1" applyFont="1" applyFill="1" applyBorder="1" applyAlignment="1">
      <alignment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16" fillId="0" borderId="11" xfId="0" quotePrefix="1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42" fontId="16" fillId="0" borderId="11" xfId="1" applyNumberFormat="1" applyFont="1" applyFill="1" applyBorder="1" applyAlignment="1">
      <alignment horizontal="center" vertical="center"/>
    </xf>
    <xf numFmtId="42" fontId="16" fillId="0" borderId="12" xfId="1" applyNumberFormat="1" applyFont="1" applyFill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/>
    </xf>
    <xf numFmtId="0" fontId="32" fillId="0" borderId="11" xfId="0" quotePrefix="1" applyFont="1" applyBorder="1" applyAlignment="1">
      <alignment horizontal="left" vertical="center" wrapText="1"/>
    </xf>
    <xf numFmtId="42" fontId="29" fillId="0" borderId="11" xfId="1" applyNumberFormat="1" applyFont="1" applyFill="1" applyBorder="1" applyAlignment="1">
      <alignment horizontal="center" vertical="center"/>
    </xf>
    <xf numFmtId="42" fontId="29" fillId="0" borderId="12" xfId="1" applyNumberFormat="1" applyFont="1" applyFill="1" applyBorder="1" applyAlignment="1">
      <alignment horizontal="center" vertical="center"/>
    </xf>
    <xf numFmtId="0" fontId="21" fillId="4" borderId="0" xfId="0" applyFont="1" applyFill="1" applyAlignment="1">
      <alignment horizontal="right" vertical="center" indent="1"/>
    </xf>
    <xf numFmtId="0" fontId="21" fillId="4" borderId="7" xfId="0" applyFont="1" applyFill="1" applyBorder="1" applyAlignment="1">
      <alignment horizontal="right" vertical="center" indent="1"/>
    </xf>
    <xf numFmtId="0" fontId="24" fillId="7" borderId="10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4" fillId="6" borderId="10" xfId="0" applyFont="1" applyFill="1" applyBorder="1" applyAlignment="1">
      <alignment horizontal="center" vertical="center"/>
    </xf>
    <xf numFmtId="176" fontId="24" fillId="6" borderId="10" xfId="0" applyNumberFormat="1" applyFont="1" applyFill="1" applyBorder="1" applyAlignment="1">
      <alignment horizontal="center" vertical="center"/>
    </xf>
    <xf numFmtId="41" fontId="24" fillId="6" borderId="10" xfId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4" borderId="8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right" vertical="center" wrapText="1"/>
    </xf>
    <xf numFmtId="42" fontId="16" fillId="5" borderId="10" xfId="1" applyNumberFormat="1" applyFont="1" applyFill="1" applyBorder="1" applyAlignment="1">
      <alignment horizontal="center" vertical="center"/>
    </xf>
    <xf numFmtId="0" fontId="27" fillId="3" borderId="10" xfId="0" quotePrefix="1" applyFont="1" applyFill="1" applyBorder="1" applyAlignment="1">
      <alignment horizontal="left" vertical="center" wrapText="1" indent="1"/>
    </xf>
    <xf numFmtId="0" fontId="16" fillId="5" borderId="10" xfId="0" applyFont="1" applyFill="1" applyBorder="1" applyAlignment="1">
      <alignment horizontal="center" vertical="center" wrapText="1"/>
    </xf>
    <xf numFmtId="3" fontId="16" fillId="2" borderId="10" xfId="0" applyNumberFormat="1" applyFont="1" applyFill="1" applyBorder="1" applyAlignment="1">
      <alignment horizontal="right" vertical="center" indent="1"/>
    </xf>
    <xf numFmtId="0" fontId="28" fillId="5" borderId="10" xfId="0" applyFont="1" applyFill="1" applyBorder="1" applyAlignment="1">
      <alignment horizontal="center" vertical="center" wrapText="1"/>
    </xf>
    <xf numFmtId="3" fontId="28" fillId="2" borderId="10" xfId="0" applyNumberFormat="1" applyFont="1" applyFill="1" applyBorder="1" applyAlignment="1">
      <alignment horizontal="right" vertical="center" indent="1"/>
    </xf>
    <xf numFmtId="177" fontId="16" fillId="0" borderId="20" xfId="0" quotePrefix="1" applyNumberFormat="1" applyFont="1" applyBorder="1" applyAlignment="1">
      <alignment horizontal="left" vertical="center" wrapText="1"/>
    </xf>
    <xf numFmtId="177" fontId="16" fillId="0" borderId="21" xfId="0" quotePrefix="1" applyNumberFormat="1" applyFont="1" applyBorder="1" applyAlignment="1">
      <alignment horizontal="left" vertical="center" wrapText="1"/>
    </xf>
    <xf numFmtId="177" fontId="16" fillId="0" borderId="22" xfId="0" quotePrefix="1" applyNumberFormat="1" applyFont="1" applyBorder="1" applyAlignment="1">
      <alignment horizontal="left" vertical="center" wrapText="1"/>
    </xf>
    <xf numFmtId="0" fontId="13" fillId="4" borderId="0" xfId="2" applyFill="1" applyBorder="1" applyAlignment="1">
      <alignment horizontal="right" vertical="center" indent="1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colors>
    <mruColors>
      <color rgb="FFFFFFC5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160692</xdr:colOff>
      <xdr:row>0</xdr:row>
      <xdr:rowOff>190500</xdr:rowOff>
    </xdr:from>
    <xdr:to>
      <xdr:col>2</xdr:col>
      <xdr:colOff>533535</xdr:colOff>
      <xdr:row>2</xdr:row>
      <xdr:rowOff>983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A3C4014-376A-4D8B-9421-62E128117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62" y="190500"/>
          <a:ext cx="1910813" cy="618203"/>
        </a:xfrm>
        <a:prstGeom prst="rect">
          <a:avLst/>
        </a:prstGeom>
      </xdr:spPr>
    </xdr:pic>
    <xdr:clientData/>
  </xdr:twoCellAnchor>
  <xdr:twoCellAnchor editAs="oneCell">
    <xdr:from>
      <xdr:col>11</xdr:col>
      <xdr:colOff>178836</xdr:colOff>
      <xdr:row>0</xdr:row>
      <xdr:rowOff>170207</xdr:rowOff>
    </xdr:from>
    <xdr:to>
      <xdr:col>13</xdr:col>
      <xdr:colOff>748</xdr:colOff>
      <xdr:row>5</xdr:row>
      <xdr:rowOff>289604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39481ED-D8C6-4D78-A97B-74B956036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3916" y="174017"/>
          <a:ext cx="4937472" cy="17297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wlee@timbel.net,%20010-8192-22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FC67-A825-4160-9346-45E2A71EE00D}">
  <sheetPr>
    <tabColor theme="5"/>
    <pageSetUpPr fitToPage="1"/>
  </sheetPr>
  <dimension ref="A1:T39"/>
  <sheetViews>
    <sheetView showGridLines="0" tabSelected="1" topLeftCell="A12" zoomScale="55" zoomScaleNormal="55" zoomScaleSheetLayoutView="55" zoomScalePageLayoutView="70" workbookViewId="0">
      <selection activeCell="C5" sqref="C5"/>
    </sheetView>
  </sheetViews>
  <sheetFormatPr defaultColWidth="8.75" defaultRowHeight="14"/>
  <cols>
    <col min="1" max="1" width="11.9140625" style="1" customWidth="1"/>
    <col min="2" max="2" width="8.25" style="1" customWidth="1"/>
    <col min="3" max="3" width="10.25" style="1" customWidth="1"/>
    <col min="4" max="4" width="9.33203125" style="1" customWidth="1"/>
    <col min="5" max="5" width="7.08203125" style="1" customWidth="1"/>
    <col min="6" max="6" width="54.1640625" style="1" customWidth="1"/>
    <col min="7" max="8" width="9.25" style="2" customWidth="1"/>
    <col min="9" max="9" width="6.6640625" style="1" customWidth="1"/>
    <col min="10" max="10" width="18.08203125" style="1" customWidth="1"/>
    <col min="11" max="11" width="9.75" style="1" bestFit="1" customWidth="1"/>
    <col min="12" max="12" width="14" style="1" customWidth="1"/>
    <col min="13" max="13" width="53.08203125" style="1" customWidth="1"/>
    <col min="14" max="14" width="4.4140625" style="1" customWidth="1"/>
    <col min="15" max="16" width="8.75" style="1"/>
    <col min="17" max="17" width="31.08203125" style="1" customWidth="1"/>
    <col min="18" max="18" width="14.4140625" style="1" bestFit="1" customWidth="1"/>
    <col min="19" max="19" width="8.75" style="1"/>
    <col min="20" max="20" width="26.75" style="1" bestFit="1" customWidth="1"/>
    <col min="21" max="16384" width="8.75" style="1"/>
  </cols>
  <sheetData>
    <row r="1" spans="1:20" ht="28" customHeight="1">
      <c r="A1" s="10"/>
      <c r="B1" s="11"/>
      <c r="C1" s="11"/>
      <c r="D1" s="11"/>
      <c r="E1" s="11"/>
      <c r="F1" s="11"/>
      <c r="G1" s="12"/>
      <c r="H1" s="12"/>
      <c r="I1" s="11"/>
      <c r="J1" s="11"/>
      <c r="K1" s="11"/>
      <c r="L1" s="11"/>
      <c r="M1" s="13"/>
    </row>
    <row r="2" spans="1:20" s="3" customFormat="1" ht="35.5">
      <c r="A2" s="65" t="s">
        <v>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7"/>
    </row>
    <row r="3" spans="1:20" s="3" customFormat="1" ht="13" customHeight="1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</row>
    <row r="4" spans="1:20" s="3" customFormat="1" ht="25" customHeight="1">
      <c r="A4" s="74" t="s">
        <v>1</v>
      </c>
      <c r="B4" s="75"/>
      <c r="C4" s="32" t="s">
        <v>2</v>
      </c>
      <c r="D4" s="33"/>
      <c r="E4" s="33"/>
      <c r="F4" s="33"/>
      <c r="G4" s="17"/>
      <c r="H4" s="68"/>
      <c r="I4" s="69"/>
      <c r="J4" s="69"/>
      <c r="K4" s="70"/>
      <c r="L4" s="70"/>
      <c r="M4" s="71"/>
      <c r="N4" s="4"/>
    </row>
    <row r="5" spans="1:20" s="3" customFormat="1" ht="25" customHeight="1">
      <c r="A5" s="76" t="s">
        <v>3</v>
      </c>
      <c r="B5" s="77"/>
      <c r="C5" s="32" t="s">
        <v>50</v>
      </c>
      <c r="D5" s="33"/>
      <c r="E5" s="33"/>
      <c r="F5" s="33"/>
      <c r="G5" s="17"/>
      <c r="H5" s="68"/>
      <c r="I5" s="69"/>
      <c r="J5" s="69"/>
      <c r="K5" s="18"/>
      <c r="L5" s="69"/>
      <c r="M5" s="72"/>
      <c r="N5" s="4"/>
    </row>
    <row r="6" spans="1:20" s="3" customFormat="1" ht="33.4" customHeight="1">
      <c r="A6" s="76" t="s">
        <v>4</v>
      </c>
      <c r="B6" s="77"/>
      <c r="C6" s="73">
        <v>260112</v>
      </c>
      <c r="D6" s="73"/>
      <c r="E6" s="73"/>
      <c r="F6" s="34"/>
      <c r="G6" s="17"/>
      <c r="H6" s="68"/>
      <c r="I6" s="69"/>
      <c r="J6" s="69"/>
      <c r="K6" s="18"/>
      <c r="L6" s="69"/>
      <c r="M6" s="72"/>
      <c r="N6" s="4"/>
    </row>
    <row r="7" spans="1:20" s="3" customFormat="1" ht="20.149999999999999" customHeight="1">
      <c r="A7" s="19"/>
      <c r="B7" s="20"/>
      <c r="C7" s="20"/>
      <c r="D7" s="20"/>
      <c r="E7" s="20"/>
      <c r="F7" s="21"/>
      <c r="G7" s="17"/>
      <c r="H7" s="24"/>
      <c r="I7" s="22"/>
      <c r="J7" s="23"/>
      <c r="K7" s="57" t="s">
        <v>48</v>
      </c>
      <c r="L7" s="57"/>
      <c r="M7" s="58"/>
    </row>
    <row r="8" spans="1:20" s="3" customFormat="1" ht="16" customHeight="1">
      <c r="A8" s="19"/>
      <c r="B8" s="20"/>
      <c r="C8" s="20"/>
      <c r="D8" s="20"/>
      <c r="E8" s="20"/>
      <c r="F8" s="21"/>
      <c r="G8" s="17"/>
      <c r="H8" s="24"/>
      <c r="I8" s="24"/>
      <c r="J8" s="25"/>
      <c r="K8" s="88" t="s">
        <v>49</v>
      </c>
      <c r="L8" s="57"/>
      <c r="M8" s="58"/>
    </row>
    <row r="9" spans="1:20" s="3" customFormat="1" ht="20.149999999999999" customHeight="1">
      <c r="A9" s="60" t="s">
        <v>5</v>
      </c>
      <c r="B9" s="61"/>
      <c r="C9" s="61"/>
      <c r="D9" s="61"/>
      <c r="E9" s="61"/>
      <c r="F9" s="61"/>
      <c r="G9" s="17"/>
      <c r="H9" s="17"/>
      <c r="I9" s="21"/>
      <c r="J9" s="26"/>
      <c r="K9" s="57" t="s">
        <v>6</v>
      </c>
      <c r="L9" s="57"/>
      <c r="M9" s="58"/>
    </row>
    <row r="10" spans="1:20" s="5" customFormat="1" ht="15.5">
      <c r="A10" s="27"/>
      <c r="B10" s="28"/>
      <c r="C10" s="28"/>
      <c r="D10" s="28"/>
      <c r="E10" s="28"/>
      <c r="F10" s="28"/>
      <c r="G10" s="29"/>
      <c r="H10" s="29"/>
      <c r="I10" s="28"/>
      <c r="J10" s="26"/>
      <c r="K10" s="25"/>
      <c r="L10" s="30"/>
      <c r="M10" s="31"/>
    </row>
    <row r="11" spans="1:20" s="9" customFormat="1" ht="36" customHeight="1">
      <c r="A11" s="62" t="s">
        <v>7</v>
      </c>
      <c r="B11" s="62"/>
      <c r="C11" s="62" t="s">
        <v>8</v>
      </c>
      <c r="D11" s="62"/>
      <c r="E11" s="62"/>
      <c r="F11" s="62"/>
      <c r="G11" s="37" t="s">
        <v>9</v>
      </c>
      <c r="H11" s="37" t="s">
        <v>10</v>
      </c>
      <c r="I11" s="63" t="s">
        <v>11</v>
      </c>
      <c r="J11" s="63"/>
      <c r="K11" s="64" t="s">
        <v>12</v>
      </c>
      <c r="L11" s="64"/>
      <c r="M11" s="38" t="s">
        <v>13</v>
      </c>
    </row>
    <row r="12" spans="1:20" s="7" customFormat="1" ht="33" customHeight="1">
      <c r="A12" s="59" t="s">
        <v>14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6"/>
    </row>
    <row r="13" spans="1:20" s="7" customFormat="1" ht="49.15" customHeight="1">
      <c r="A13" s="42" t="s">
        <v>15</v>
      </c>
      <c r="B13" s="43"/>
      <c r="C13" s="53" t="s">
        <v>16</v>
      </c>
      <c r="D13" s="49"/>
      <c r="E13" s="49"/>
      <c r="F13" s="50"/>
      <c r="G13" s="39">
        <v>1</v>
      </c>
      <c r="H13" s="39" t="s">
        <v>17</v>
      </c>
      <c r="I13" s="51">
        <v>13000000</v>
      </c>
      <c r="J13" s="52"/>
      <c r="K13" s="51">
        <f>I13*G13</f>
        <v>13000000</v>
      </c>
      <c r="L13" s="52"/>
      <c r="M13" s="85" t="s">
        <v>42</v>
      </c>
      <c r="Q13" s="35"/>
      <c r="R13" s="35"/>
      <c r="T13" s="36"/>
    </row>
    <row r="14" spans="1:20" s="7" customFormat="1" ht="198.5" customHeight="1">
      <c r="A14" s="44"/>
      <c r="B14" s="45"/>
      <c r="C14" s="53" t="s">
        <v>33</v>
      </c>
      <c r="D14" s="49"/>
      <c r="E14" s="49"/>
      <c r="F14" s="50"/>
      <c r="G14" s="39">
        <v>5</v>
      </c>
      <c r="H14" s="39" t="s">
        <v>17</v>
      </c>
      <c r="I14" s="51">
        <v>13000000</v>
      </c>
      <c r="J14" s="52"/>
      <c r="K14" s="51">
        <f t="shared" ref="K14:K29" si="0">I14*G14</f>
        <v>65000000</v>
      </c>
      <c r="L14" s="52"/>
      <c r="M14" s="86"/>
      <c r="Q14" s="35"/>
      <c r="R14" s="35"/>
      <c r="T14" s="36"/>
    </row>
    <row r="15" spans="1:20" s="7" customFormat="1" ht="230.5" customHeight="1">
      <c r="A15" s="44"/>
      <c r="B15" s="45"/>
      <c r="C15" s="53" t="s">
        <v>35</v>
      </c>
      <c r="D15" s="49"/>
      <c r="E15" s="49"/>
      <c r="F15" s="50"/>
      <c r="G15" s="39">
        <v>5</v>
      </c>
      <c r="H15" s="39" t="s">
        <v>17</v>
      </c>
      <c r="I15" s="51">
        <v>13000000</v>
      </c>
      <c r="J15" s="52"/>
      <c r="K15" s="51">
        <f t="shared" si="0"/>
        <v>65000000</v>
      </c>
      <c r="L15" s="52"/>
      <c r="M15" s="86"/>
      <c r="Q15" s="35"/>
      <c r="R15" s="35"/>
      <c r="T15" s="36"/>
    </row>
    <row r="16" spans="1:20" s="7" customFormat="1" ht="60" customHeight="1">
      <c r="A16" s="46"/>
      <c r="B16" s="47"/>
      <c r="C16" s="54" t="s">
        <v>18</v>
      </c>
      <c r="D16" s="49"/>
      <c r="E16" s="49"/>
      <c r="F16" s="50"/>
      <c r="G16" s="39">
        <v>2</v>
      </c>
      <c r="H16" s="39" t="s">
        <v>17</v>
      </c>
      <c r="I16" s="51">
        <v>13000000</v>
      </c>
      <c r="J16" s="52"/>
      <c r="K16" s="51">
        <f t="shared" si="0"/>
        <v>26000000</v>
      </c>
      <c r="L16" s="52"/>
      <c r="M16" s="87"/>
      <c r="Q16" s="35"/>
      <c r="R16" s="35"/>
      <c r="T16" s="36"/>
    </row>
    <row r="17" spans="1:20" s="7" customFormat="1" ht="51.4" customHeight="1">
      <c r="A17" s="42" t="s">
        <v>19</v>
      </c>
      <c r="B17" s="43"/>
      <c r="C17" s="48" t="s">
        <v>20</v>
      </c>
      <c r="D17" s="49"/>
      <c r="E17" s="49"/>
      <c r="F17" s="50"/>
      <c r="G17" s="39">
        <v>2</v>
      </c>
      <c r="H17" s="39" t="s">
        <v>17</v>
      </c>
      <c r="I17" s="51">
        <v>13000000</v>
      </c>
      <c r="J17" s="52"/>
      <c r="K17" s="51">
        <f t="shared" si="0"/>
        <v>26000000</v>
      </c>
      <c r="L17" s="52"/>
      <c r="M17" s="40"/>
      <c r="Q17" s="35"/>
      <c r="R17" s="35"/>
      <c r="T17" s="36"/>
    </row>
    <row r="18" spans="1:20" s="7" customFormat="1" ht="201.75" customHeight="1">
      <c r="A18" s="44"/>
      <c r="B18" s="45"/>
      <c r="C18" s="48" t="s">
        <v>21</v>
      </c>
      <c r="D18" s="49"/>
      <c r="E18" s="49"/>
      <c r="F18" s="50"/>
      <c r="G18" s="39">
        <v>5</v>
      </c>
      <c r="H18" s="39" t="s">
        <v>17</v>
      </c>
      <c r="I18" s="51">
        <v>13000000</v>
      </c>
      <c r="J18" s="52"/>
      <c r="K18" s="51">
        <f t="shared" si="0"/>
        <v>65000000</v>
      </c>
      <c r="L18" s="52"/>
      <c r="M18" s="40"/>
      <c r="Q18" s="35"/>
      <c r="R18" s="35"/>
      <c r="T18" s="36"/>
    </row>
    <row r="19" spans="1:20" s="7" customFormat="1" ht="43.15" customHeight="1">
      <c r="A19" s="44"/>
      <c r="B19" s="45"/>
      <c r="C19" s="48" t="s">
        <v>22</v>
      </c>
      <c r="D19" s="49"/>
      <c r="E19" s="49"/>
      <c r="F19" s="50"/>
      <c r="G19" s="39">
        <v>1</v>
      </c>
      <c r="H19" s="39" t="s">
        <v>17</v>
      </c>
      <c r="I19" s="51">
        <v>13000000</v>
      </c>
      <c r="J19" s="52"/>
      <c r="K19" s="51">
        <f t="shared" si="0"/>
        <v>13000000</v>
      </c>
      <c r="L19" s="52"/>
      <c r="M19" s="40"/>
      <c r="Q19" s="35"/>
      <c r="R19" s="35"/>
      <c r="T19" s="36"/>
    </row>
    <row r="20" spans="1:20" s="7" customFormat="1" ht="105" customHeight="1">
      <c r="A20" s="44"/>
      <c r="B20" s="45"/>
      <c r="C20" s="48" t="s">
        <v>34</v>
      </c>
      <c r="D20" s="49"/>
      <c r="E20" s="49"/>
      <c r="F20" s="50"/>
      <c r="G20" s="39">
        <v>12</v>
      </c>
      <c r="H20" s="39" t="s">
        <v>17</v>
      </c>
      <c r="I20" s="51">
        <v>13000000</v>
      </c>
      <c r="J20" s="52"/>
      <c r="K20" s="51">
        <f t="shared" si="0"/>
        <v>156000000</v>
      </c>
      <c r="L20" s="52"/>
      <c r="M20" s="40" t="s">
        <v>23</v>
      </c>
      <c r="Q20" s="35"/>
      <c r="R20" s="35"/>
      <c r="T20" s="36"/>
    </row>
    <row r="21" spans="1:20" s="7" customFormat="1" ht="66" customHeight="1">
      <c r="A21" s="46"/>
      <c r="B21" s="47"/>
      <c r="C21" s="48" t="s">
        <v>24</v>
      </c>
      <c r="D21" s="49"/>
      <c r="E21" s="49"/>
      <c r="F21" s="50"/>
      <c r="G21" s="39">
        <v>1</v>
      </c>
      <c r="H21" s="39" t="s">
        <v>17</v>
      </c>
      <c r="I21" s="51">
        <v>13000000</v>
      </c>
      <c r="J21" s="52"/>
      <c r="K21" s="51">
        <f t="shared" si="0"/>
        <v>13000000</v>
      </c>
      <c r="L21" s="52"/>
      <c r="M21" s="40"/>
      <c r="Q21" s="35"/>
      <c r="R21" s="35"/>
      <c r="T21" s="36"/>
    </row>
    <row r="22" spans="1:20" s="7" customFormat="1" ht="87.5" customHeight="1">
      <c r="A22" s="42" t="s">
        <v>41</v>
      </c>
      <c r="B22" s="43"/>
      <c r="C22" s="53" t="s">
        <v>25</v>
      </c>
      <c r="D22" s="49"/>
      <c r="E22" s="49"/>
      <c r="F22" s="50"/>
      <c r="G22" s="39">
        <v>1</v>
      </c>
      <c r="H22" s="39" t="s">
        <v>26</v>
      </c>
      <c r="I22" s="51">
        <v>200000000</v>
      </c>
      <c r="J22" s="52"/>
      <c r="K22" s="51">
        <f t="shared" si="0"/>
        <v>200000000</v>
      </c>
      <c r="L22" s="52"/>
      <c r="M22" s="40" t="s">
        <v>43</v>
      </c>
      <c r="Q22" s="35"/>
      <c r="R22" s="35"/>
      <c r="T22" s="36"/>
    </row>
    <row r="23" spans="1:20" s="7" customFormat="1" ht="87" customHeight="1">
      <c r="A23" s="44"/>
      <c r="B23" s="45"/>
      <c r="C23" s="53" t="s">
        <v>27</v>
      </c>
      <c r="D23" s="49"/>
      <c r="E23" s="49"/>
      <c r="F23" s="50"/>
      <c r="G23" s="39">
        <v>1</v>
      </c>
      <c r="H23" s="39" t="s">
        <v>26</v>
      </c>
      <c r="I23" s="51">
        <v>200000000</v>
      </c>
      <c r="J23" s="52"/>
      <c r="K23" s="51">
        <f t="shared" si="0"/>
        <v>200000000</v>
      </c>
      <c r="L23" s="52"/>
      <c r="M23" s="40" t="s">
        <v>43</v>
      </c>
      <c r="Q23" s="35"/>
      <c r="R23" s="35"/>
      <c r="T23" s="36"/>
    </row>
    <row r="24" spans="1:20" s="7" customFormat="1" ht="158.5" customHeight="1">
      <c r="A24" s="44" t="s">
        <v>41</v>
      </c>
      <c r="B24" s="45"/>
      <c r="C24" s="53" t="s">
        <v>36</v>
      </c>
      <c r="D24" s="49"/>
      <c r="E24" s="49"/>
      <c r="F24" s="50"/>
      <c r="G24" s="39">
        <v>1</v>
      </c>
      <c r="H24" s="39" t="s">
        <v>26</v>
      </c>
      <c r="I24" s="51">
        <v>50000000</v>
      </c>
      <c r="J24" s="52"/>
      <c r="K24" s="51">
        <f t="shared" si="0"/>
        <v>50000000</v>
      </c>
      <c r="L24" s="52"/>
      <c r="M24" s="40"/>
      <c r="Q24" s="35"/>
      <c r="R24" s="35"/>
      <c r="T24" s="36"/>
    </row>
    <row r="25" spans="1:20" s="7" customFormat="1" ht="125" customHeight="1">
      <c r="A25" s="44"/>
      <c r="B25" s="45"/>
      <c r="C25" s="53" t="s">
        <v>37</v>
      </c>
      <c r="D25" s="49"/>
      <c r="E25" s="49"/>
      <c r="F25" s="50"/>
      <c r="G25" s="39">
        <v>1</v>
      </c>
      <c r="H25" s="39" t="s">
        <v>26</v>
      </c>
      <c r="I25" s="51">
        <v>100000000</v>
      </c>
      <c r="J25" s="52"/>
      <c r="K25" s="51">
        <f t="shared" ref="K25:K26" si="1">I25*G25</f>
        <v>100000000</v>
      </c>
      <c r="L25" s="52"/>
      <c r="M25" s="40" t="s">
        <v>44</v>
      </c>
      <c r="Q25" s="35"/>
      <c r="R25" s="35"/>
      <c r="T25" s="36"/>
    </row>
    <row r="26" spans="1:20" s="7" customFormat="1" ht="122.5" customHeight="1">
      <c r="A26" s="44"/>
      <c r="B26" s="45"/>
      <c r="C26" s="53" t="s">
        <v>38</v>
      </c>
      <c r="D26" s="49"/>
      <c r="E26" s="49"/>
      <c r="F26" s="50"/>
      <c r="G26" s="39">
        <v>1</v>
      </c>
      <c r="H26" s="39" t="s">
        <v>26</v>
      </c>
      <c r="I26" s="51">
        <v>50000000</v>
      </c>
      <c r="J26" s="52"/>
      <c r="K26" s="51">
        <f t="shared" si="1"/>
        <v>50000000</v>
      </c>
      <c r="L26" s="52"/>
      <c r="M26" s="40" t="s">
        <v>44</v>
      </c>
      <c r="Q26" s="35"/>
      <c r="R26" s="35"/>
      <c r="T26" s="36"/>
    </row>
    <row r="27" spans="1:20" s="7" customFormat="1" ht="222" customHeight="1">
      <c r="A27" s="44"/>
      <c r="B27" s="45"/>
      <c r="C27" s="53" t="s">
        <v>39</v>
      </c>
      <c r="D27" s="49"/>
      <c r="E27" s="49"/>
      <c r="F27" s="50"/>
      <c r="G27" s="39">
        <v>1</v>
      </c>
      <c r="H27" s="39" t="s">
        <v>26</v>
      </c>
      <c r="I27" s="55">
        <v>200000000</v>
      </c>
      <c r="J27" s="56"/>
      <c r="K27" s="51">
        <f t="shared" si="0"/>
        <v>200000000</v>
      </c>
      <c r="L27" s="52"/>
      <c r="M27" s="40" t="s">
        <v>46</v>
      </c>
      <c r="Q27" s="35"/>
      <c r="R27" s="35"/>
      <c r="T27" s="36"/>
    </row>
    <row r="28" spans="1:20" s="7" customFormat="1" ht="171" customHeight="1">
      <c r="A28" s="44"/>
      <c r="B28" s="45"/>
      <c r="C28" s="53" t="s">
        <v>45</v>
      </c>
      <c r="D28" s="49"/>
      <c r="E28" s="49"/>
      <c r="F28" s="50"/>
      <c r="G28" s="39">
        <v>1</v>
      </c>
      <c r="H28" s="39" t="s">
        <v>26</v>
      </c>
      <c r="I28" s="51">
        <v>450000000</v>
      </c>
      <c r="J28" s="52"/>
      <c r="K28" s="51">
        <f t="shared" si="0"/>
        <v>450000000</v>
      </c>
      <c r="L28" s="52"/>
      <c r="M28" s="40" t="s">
        <v>47</v>
      </c>
      <c r="Q28" s="35"/>
      <c r="R28" s="35"/>
      <c r="T28" s="36"/>
    </row>
    <row r="29" spans="1:20" s="7" customFormat="1" ht="90" customHeight="1">
      <c r="A29" s="46" t="s">
        <v>41</v>
      </c>
      <c r="B29" s="47"/>
      <c r="C29" s="53" t="s">
        <v>40</v>
      </c>
      <c r="D29" s="49"/>
      <c r="E29" s="49"/>
      <c r="F29" s="50"/>
      <c r="G29" s="39">
        <v>1</v>
      </c>
      <c r="H29" s="39" t="s">
        <v>26</v>
      </c>
      <c r="I29" s="51">
        <v>50000000</v>
      </c>
      <c r="J29" s="52"/>
      <c r="K29" s="51">
        <f t="shared" si="0"/>
        <v>50000000</v>
      </c>
      <c r="L29" s="52"/>
      <c r="M29" s="40"/>
      <c r="Q29" s="35"/>
      <c r="R29" s="35"/>
      <c r="T29" s="36"/>
    </row>
    <row r="30" spans="1:20" s="7" customFormat="1" ht="51" customHeight="1">
      <c r="A30" s="78" t="s">
        <v>28</v>
      </c>
      <c r="B30" s="78"/>
      <c r="C30" s="78"/>
      <c r="D30" s="78"/>
      <c r="E30" s="78"/>
      <c r="F30" s="78"/>
      <c r="G30" s="78"/>
      <c r="H30" s="78"/>
      <c r="I30" s="78"/>
      <c r="J30" s="78"/>
      <c r="K30" s="79">
        <f>SUM(K13:K29)</f>
        <v>1742000000</v>
      </c>
      <c r="L30" s="79"/>
      <c r="M30" s="41"/>
    </row>
    <row r="31" spans="1:20" s="6" customFormat="1" ht="35.15" customHeight="1">
      <c r="A31" s="80" t="s">
        <v>29</v>
      </c>
      <c r="B31" s="80"/>
      <c r="C31" s="80"/>
      <c r="D31" s="80"/>
      <c r="E31" s="80"/>
      <c r="F31" s="80"/>
      <c r="G31" s="81" t="s">
        <v>30</v>
      </c>
      <c r="H31" s="81"/>
      <c r="I31" s="81"/>
      <c r="J31" s="81"/>
      <c r="K31" s="82">
        <f>K30</f>
        <v>1742000000</v>
      </c>
      <c r="L31" s="82"/>
      <c r="M31" s="82"/>
    </row>
    <row r="32" spans="1:20" s="6" customFormat="1" ht="35.15" customHeight="1">
      <c r="A32" s="80"/>
      <c r="B32" s="80"/>
      <c r="C32" s="80"/>
      <c r="D32" s="80"/>
      <c r="E32" s="80"/>
      <c r="F32" s="80"/>
      <c r="G32" s="81" t="s">
        <v>31</v>
      </c>
      <c r="H32" s="81"/>
      <c r="I32" s="81"/>
      <c r="J32" s="81"/>
      <c r="K32" s="82">
        <f>K31*0.1</f>
        <v>174200000</v>
      </c>
      <c r="L32" s="82"/>
      <c r="M32" s="82"/>
      <c r="N32" s="8"/>
    </row>
    <row r="33" spans="1:14" s="6" customFormat="1" ht="35.15" customHeight="1">
      <c r="A33" s="80"/>
      <c r="B33" s="80"/>
      <c r="C33" s="80"/>
      <c r="D33" s="80"/>
      <c r="E33" s="80"/>
      <c r="F33" s="80"/>
      <c r="G33" s="83" t="s">
        <v>32</v>
      </c>
      <c r="H33" s="83"/>
      <c r="I33" s="83"/>
      <c r="J33" s="83"/>
      <c r="K33" s="84">
        <f>SUM(K31:K32)</f>
        <v>1916200000</v>
      </c>
      <c r="L33" s="84"/>
      <c r="M33" s="84"/>
      <c r="N33" s="8"/>
    </row>
    <row r="34" spans="1:14" s="4" customFormat="1" ht="92.15" customHeight="1">
      <c r="A34" s="1"/>
      <c r="B34" s="1"/>
      <c r="C34" s="1"/>
      <c r="D34" s="1"/>
      <c r="E34" s="1"/>
      <c r="F34" s="1"/>
      <c r="G34" s="2"/>
      <c r="H34" s="2"/>
      <c r="I34" s="1"/>
      <c r="J34" s="1"/>
      <c r="K34" s="1"/>
      <c r="L34" s="1"/>
      <c r="M34" s="1"/>
    </row>
    <row r="35" spans="1:14" s="4" customFormat="1" ht="92.15" customHeight="1">
      <c r="A35" s="1"/>
      <c r="B35" s="1"/>
      <c r="C35" s="1"/>
      <c r="D35" s="1"/>
      <c r="E35" s="1"/>
      <c r="F35" s="1"/>
      <c r="G35" s="2"/>
      <c r="H35" s="2"/>
      <c r="I35" s="1"/>
      <c r="J35" s="1"/>
      <c r="K35" s="1"/>
      <c r="L35" s="1"/>
      <c r="M35" s="1"/>
    </row>
    <row r="36" spans="1:14" s="3" customFormat="1" ht="30" customHeight="1">
      <c r="A36" s="1"/>
      <c r="B36" s="1"/>
      <c r="C36" s="1"/>
      <c r="D36" s="1"/>
      <c r="E36" s="1"/>
      <c r="F36" s="1"/>
      <c r="G36" s="2"/>
      <c r="H36" s="2"/>
      <c r="I36" s="1"/>
      <c r="J36" s="1"/>
      <c r="K36" s="1"/>
      <c r="L36" s="1"/>
      <c r="M36" s="1"/>
    </row>
    <row r="37" spans="1:14" s="3" customFormat="1" ht="33" customHeight="1">
      <c r="A37" s="1"/>
      <c r="B37" s="1"/>
      <c r="C37" s="1"/>
      <c r="D37" s="1"/>
      <c r="E37" s="1"/>
      <c r="F37" s="1"/>
      <c r="G37" s="2"/>
      <c r="H37" s="2"/>
      <c r="I37" s="1"/>
      <c r="J37" s="1"/>
      <c r="K37" s="1"/>
      <c r="L37" s="1"/>
      <c r="M37" s="1"/>
    </row>
    <row r="38" spans="1:14" s="3" customFormat="1" ht="33" customHeight="1">
      <c r="A38" s="1"/>
      <c r="B38" s="1"/>
      <c r="C38" s="1"/>
      <c r="D38" s="1"/>
      <c r="E38" s="1"/>
      <c r="F38" s="1"/>
      <c r="G38" s="2"/>
      <c r="H38" s="2"/>
      <c r="I38" s="1"/>
      <c r="J38" s="1"/>
      <c r="K38" s="1"/>
      <c r="L38" s="1"/>
      <c r="M38" s="1"/>
    </row>
    <row r="39" spans="1:14" s="3" customFormat="1" ht="47.15" customHeight="1">
      <c r="A39" s="1"/>
      <c r="B39" s="1"/>
      <c r="C39" s="1"/>
      <c r="D39" s="1"/>
      <c r="E39" s="1"/>
      <c r="F39" s="1"/>
      <c r="G39" s="2"/>
      <c r="H39" s="2"/>
      <c r="I39" s="1"/>
      <c r="J39" s="1"/>
      <c r="K39" s="1"/>
      <c r="L39" s="1"/>
      <c r="M39" s="1"/>
    </row>
  </sheetData>
  <mergeCells count="87">
    <mergeCell ref="A29:B29"/>
    <mergeCell ref="M13:M16"/>
    <mergeCell ref="I26:J26"/>
    <mergeCell ref="K26:L26"/>
    <mergeCell ref="A22:B23"/>
    <mergeCell ref="A24:B28"/>
    <mergeCell ref="A30:J30"/>
    <mergeCell ref="K30:L30"/>
    <mergeCell ref="A31:F33"/>
    <mergeCell ref="G31:J31"/>
    <mergeCell ref="K31:M31"/>
    <mergeCell ref="G32:J32"/>
    <mergeCell ref="K32:M32"/>
    <mergeCell ref="G33:J33"/>
    <mergeCell ref="K33:M33"/>
    <mergeCell ref="C29:F29"/>
    <mergeCell ref="I29:J29"/>
    <mergeCell ref="K29:L29"/>
    <mergeCell ref="C28:F28"/>
    <mergeCell ref="I28:J28"/>
    <mergeCell ref="K28:L28"/>
    <mergeCell ref="C24:F24"/>
    <mergeCell ref="I24:J24"/>
    <mergeCell ref="K24:L24"/>
    <mergeCell ref="C27:F27"/>
    <mergeCell ref="I27:J27"/>
    <mergeCell ref="K27:L27"/>
    <mergeCell ref="C25:F25"/>
    <mergeCell ref="I25:J25"/>
    <mergeCell ref="K25:L25"/>
    <mergeCell ref="C26:F26"/>
    <mergeCell ref="C22:F22"/>
    <mergeCell ref="I22:J22"/>
    <mergeCell ref="K22:L22"/>
    <mergeCell ref="C23:F23"/>
    <mergeCell ref="I23:J23"/>
    <mergeCell ref="K23:L23"/>
    <mergeCell ref="C20:F20"/>
    <mergeCell ref="I20:J20"/>
    <mergeCell ref="K20:L20"/>
    <mergeCell ref="C21:F21"/>
    <mergeCell ref="I21:J21"/>
    <mergeCell ref="K21:L21"/>
    <mergeCell ref="A17:B21"/>
    <mergeCell ref="C17:F17"/>
    <mergeCell ref="I17:J17"/>
    <mergeCell ref="K17:L17"/>
    <mergeCell ref="C18:F18"/>
    <mergeCell ref="I18:J18"/>
    <mergeCell ref="K18:L18"/>
    <mergeCell ref="C19:F19"/>
    <mergeCell ref="I19:J19"/>
    <mergeCell ref="K19:L19"/>
    <mergeCell ref="I14:J14"/>
    <mergeCell ref="K14:L14"/>
    <mergeCell ref="C15:F15"/>
    <mergeCell ref="I15:J15"/>
    <mergeCell ref="K15:L15"/>
    <mergeCell ref="C16:F16"/>
    <mergeCell ref="I16:J16"/>
    <mergeCell ref="K16:L16"/>
    <mergeCell ref="A11:B11"/>
    <mergeCell ref="C11:F11"/>
    <mergeCell ref="I11:J11"/>
    <mergeCell ref="K11:L11"/>
    <mergeCell ref="A12:M12"/>
    <mergeCell ref="A13:B16"/>
    <mergeCell ref="C13:F13"/>
    <mergeCell ref="I13:J13"/>
    <mergeCell ref="K13:L13"/>
    <mergeCell ref="C14:F14"/>
    <mergeCell ref="I6:J6"/>
    <mergeCell ref="L6:M6"/>
    <mergeCell ref="K7:M7"/>
    <mergeCell ref="K8:M8"/>
    <mergeCell ref="A9:F9"/>
    <mergeCell ref="K9:M9"/>
    <mergeCell ref="A2:M2"/>
    <mergeCell ref="A4:B4"/>
    <mergeCell ref="H4:H6"/>
    <mergeCell ref="I4:J4"/>
    <mergeCell ref="K4:M4"/>
    <mergeCell ref="A5:B5"/>
    <mergeCell ref="I5:J5"/>
    <mergeCell ref="L5:M5"/>
    <mergeCell ref="A6:B6"/>
    <mergeCell ref="C6:E6"/>
  </mergeCells>
  <phoneticPr fontId="2" type="noConversion"/>
  <hyperlinks>
    <hyperlink ref="K8" r:id="rId1" xr:uid="{AF2CF029-C301-4F93-A3CA-1D277B3D0DC2}"/>
  </hyperlinks>
  <printOptions horizontalCentered="1"/>
  <pageMargins left="0.25" right="0.25" top="0.75" bottom="0.75" header="0.3" footer="0.3"/>
  <pageSetup paperSize="9" scale="56" fitToHeight="0" orientation="landscape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86935F682F26B489D79CEF851F462E3" ma:contentTypeVersion="8" ma:contentTypeDescription="새 문서를 만듭니다." ma:contentTypeScope="" ma:versionID="b937c10ef8de2fd311318a6e252b5bf6">
  <xsd:schema xmlns:xsd="http://www.w3.org/2001/XMLSchema" xmlns:xs="http://www.w3.org/2001/XMLSchema" xmlns:p="http://schemas.microsoft.com/office/2006/metadata/properties" xmlns:ns2="43c000dc-6125-423e-a5bf-0bdd80eb5d07" targetNamespace="http://schemas.microsoft.com/office/2006/metadata/properties" ma:root="true" ma:fieldsID="1533379eba68d668d1c478197551ccc7" ns2:_="">
    <xsd:import namespace="43c000dc-6125-423e-a5bf-0bdd80eb5d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c000dc-6125-423e-a5bf-0bdd80eb5d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C10C4-1A1F-4842-B63D-C20706DC53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F49E5A-60C0-4712-92AF-BB60E7B0F6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c000dc-6125-423e-a5bf-0bdd80eb5d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16494D-F2CF-4B8C-A40D-E6596426CD5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SK하이닉스 2026 견적</vt:lpstr>
      <vt:lpstr>'SK하이닉스 2026 견적'!Print_Area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이상우</cp:lastModifiedBy>
  <cp:revision/>
  <cp:lastPrinted>2026-01-13T00:37:56Z</cp:lastPrinted>
  <dcterms:created xsi:type="dcterms:W3CDTF">2019-02-18T05:45:32Z</dcterms:created>
  <dcterms:modified xsi:type="dcterms:W3CDTF">2026-01-13T04:57:09Z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0x010100186935F682F26B489D79CEF851F462E3</vt:lpwstr>
  </property>
</Properties>
</file>