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dward lee\Downloads\"/>
    </mc:Choice>
  </mc:AlternateContent>
  <xr:revisionPtr revIDLastSave="0" documentId="8_{BB8491A2-BEF6-4B0C-B521-4CB106CA8E19}" xr6:coauthVersionLast="47" xr6:coauthVersionMax="47" xr10:uidLastSave="{00000000-0000-0000-0000-000000000000}"/>
  <bookViews>
    <workbookView xWindow="680" yWindow="720" windowWidth="18700" windowHeight="19490" xr2:uid="{00000000-000D-0000-FFFF-FFFF00000000}"/>
  </bookViews>
  <sheets>
    <sheet name="KB국민은행(AWS)" sheetId="25" r:id="rId1"/>
  </sheets>
  <definedNames>
    <definedName name="_xlnm.Print_Area" localSheetId="0">'KB국민은행(AWS)'!$A$1:$M$45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3" i="25" l="1"/>
  <c r="K42" i="25"/>
  <c r="G33" i="25" l="1"/>
  <c r="K23" i="25" l="1"/>
  <c r="K24" i="25" s="1"/>
  <c r="G34" i="25"/>
  <c r="K22" i="25" l="1"/>
  <c r="K18" i="25" l="1"/>
  <c r="K17" i="25"/>
  <c r="K19" i="25" l="1"/>
  <c r="K20" i="25" s="1"/>
  <c r="K28" i="25"/>
  <c r="K41" i="25" l="1"/>
  <c r="K40" i="25"/>
  <c r="K37" i="25"/>
  <c r="K38" i="25" s="1"/>
  <c r="K14" i="25"/>
  <c r="K13" i="25"/>
  <c r="K15" i="25" l="1"/>
  <c r="K16" i="25" s="1"/>
  <c r="K31" i="25"/>
  <c r="K35" i="25"/>
  <c r="K44" i="25" l="1"/>
  <c r="K45" i="25" s="1"/>
</calcChain>
</file>

<file path=xl/sharedStrings.xml><?xml version="1.0" encoding="utf-8"?>
<sst xmlns="http://schemas.openxmlformats.org/spreadsheetml/2006/main" count="99" uniqueCount="73">
  <si>
    <t>견   적   서</t>
    <phoneticPr fontId="2" type="noConversion"/>
  </si>
  <si>
    <t>수신</t>
    <phoneticPr fontId="2" type="noConversion"/>
  </si>
  <si>
    <t>견적번호</t>
    <phoneticPr fontId="2" type="noConversion"/>
  </si>
  <si>
    <t>* 아래와 같이 견적합니다</t>
    <phoneticPr fontId="2" type="noConversion"/>
  </si>
  <si>
    <t>품 명</t>
    <phoneticPr fontId="2" type="noConversion"/>
  </si>
  <si>
    <t>제  품  사  양</t>
    <phoneticPr fontId="2" type="noConversion"/>
  </si>
  <si>
    <t>수량</t>
    <phoneticPr fontId="2" type="noConversion"/>
  </si>
  <si>
    <t>단위</t>
    <phoneticPr fontId="2" type="noConversion"/>
  </si>
  <si>
    <t>공급단가(원)</t>
    <phoneticPr fontId="2" type="noConversion"/>
  </si>
  <si>
    <t>공급가(원)</t>
    <phoneticPr fontId="2" type="noConversion"/>
  </si>
  <si>
    <t>비 고</t>
    <phoneticPr fontId="2" type="noConversion"/>
  </si>
  <si>
    <t>식</t>
    <phoneticPr fontId="2" type="noConversion"/>
  </si>
  <si>
    <t>소계</t>
    <phoneticPr fontId="2" type="noConversion"/>
  </si>
  <si>
    <t>학습 서비스</t>
    <phoneticPr fontId="2" type="noConversion"/>
  </si>
  <si>
    <t>시간</t>
    <phoneticPr fontId="2" type="noConversion"/>
  </si>
  <si>
    <t>합  계</t>
    <phoneticPr fontId="2" type="noConversion"/>
  </si>
  <si>
    <t>부가세</t>
    <phoneticPr fontId="2" type="noConversion"/>
  </si>
  <si>
    <t>총  계</t>
    <phoneticPr fontId="2" type="noConversion"/>
  </si>
  <si>
    <t>M/M</t>
    <phoneticPr fontId="2" type="noConversion"/>
  </si>
  <si>
    <t>견적명</t>
    <phoneticPr fontId="2" type="noConversion"/>
  </si>
  <si>
    <t>* 발행일로부터 30일간 유효합니다</t>
    <phoneticPr fontId="2" type="noConversion"/>
  </si>
  <si>
    <t>개발 및 커스터마이징</t>
    <phoneticPr fontId="2" type="noConversion"/>
  </si>
  <si>
    <t>S/W</t>
    <phoneticPr fontId="2" type="noConversion"/>
  </si>
  <si>
    <t>OS
Subscription</t>
    <phoneticPr fontId="2" type="noConversion"/>
  </si>
  <si>
    <t>CarePACK</t>
    <phoneticPr fontId="2" type="noConversion"/>
  </si>
  <si>
    <t>HAIV</t>
    <phoneticPr fontId="2" type="noConversion"/>
  </si>
  <si>
    <t>파일 배치 음성인식 관리 페이지 
* STT/TTS 결과 확인
* 모니터링 관리</t>
    <phoneticPr fontId="2" type="noConversion"/>
  </si>
  <si>
    <t>* 무상 제공</t>
    <phoneticPr fontId="2" type="noConversion"/>
  </si>
  <si>
    <t>STT 음성인식 엔진 라이선스
* End-To-End 알고리즘 기반 음성인식 엔진
* 8K 음성인식 
* 배치 및 실시간 API
* 관리자페이지 외</t>
    <phoneticPr fontId="2" type="noConversion"/>
  </si>
  <si>
    <t>개발서버</t>
    <phoneticPr fontId="2" type="noConversion"/>
  </si>
  <si>
    <t>- 고객사 제공</t>
    <phoneticPr fontId="2" type="noConversion"/>
  </si>
  <si>
    <t>HAIV엔진 학습 서버</t>
    <phoneticPr fontId="2" type="noConversion"/>
  </si>
  <si>
    <t>Red Hat Enterprise Linux Server, Standard
(Physical or Virtual Nodes) 1Year</t>
    <phoneticPr fontId="2" type="noConversion"/>
  </si>
  <si>
    <t>rockPLACE Support Carepack - Linux Standard (1년)
(Per Server)</t>
    <phoneticPr fontId="2" type="noConversion"/>
  </si>
  <si>
    <t xml:space="preserve">* 엔진 라이선스 무상제공 </t>
    <phoneticPr fontId="2" type="noConversion"/>
  </si>
  <si>
    <t>* STT(5CH), TTS(5CH)
    - Master, Worker, TTS
    - 고객사 제공</t>
    <phoneticPr fontId="2" type="noConversion"/>
  </si>
  <si>
    <t>* 60프로 할인율 적용</t>
    <phoneticPr fontId="2" type="noConversion"/>
  </si>
  <si>
    <t xml:space="preserve">   - 할인율(60% 적용)     </t>
    <phoneticPr fontId="2" type="noConversion"/>
  </si>
  <si>
    <t>* 데이터저장을 위한 공간(DB, Storage)이 필요한 경우 주관사에서 제공 
* 본 계약에 따른 무상 유지보수 기간은 납품 완료일로부터 12개월로 한다.
* 유상 유지보수 요율은 개발 및 구축에 소요된 인건비를 제외한 계약금액의 15%로 한다.</t>
    <phoneticPr fontId="2" type="noConversion"/>
  </si>
  <si>
    <t xml:space="preserve">STT
Engine License
</t>
  </si>
  <si>
    <t xml:space="preserve">STT
Channel License
</t>
  </si>
  <si>
    <t>TTS
Engine License</t>
  </si>
  <si>
    <t xml:space="preserve">TTS
Channel License
</t>
  </si>
  <si>
    <t>ECS 박범준 과장님 귀하</t>
    <phoneticPr fontId="2" type="noConversion"/>
  </si>
  <si>
    <t>데이터 전처리, 가공 및 트레이닝, 학습/평가
* 음성녹취 데이터가공 및 속기/전사 인력투입
* 전이 학습을 통한 음향 모델 생성
* 학습수행, 인식률 평가 수행</t>
    <phoneticPr fontId="2" type="noConversion"/>
  </si>
  <si>
    <t>개발/커스트마이징
 인건비</t>
    <phoneticPr fontId="2" type="noConversion"/>
  </si>
  <si>
    <t>HAIV STT 엔진 서버
(Master/Worker)</t>
    <phoneticPr fontId="2" type="noConversion"/>
  </si>
  <si>
    <t>HAIV TTS 엔진 서버
(TTS)</t>
    <phoneticPr fontId="2" type="noConversion"/>
  </si>
  <si>
    <t>H/W(VM)</t>
    <phoneticPr fontId="2" type="noConversion"/>
  </si>
  <si>
    <t>비식별화 솔루션</t>
    <phoneticPr fontId="2" type="noConversion"/>
  </si>
  <si>
    <t>개인정보비식별화 솔루션
* 음성인식 후 개인정보비식별화 처리 기준</t>
    <phoneticPr fontId="2" type="noConversion"/>
  </si>
  <si>
    <t>STT 인식률 향상 데이터 전처리, 가공 및 트레이닝</t>
    <phoneticPr fontId="2" type="noConversion"/>
  </si>
  <si>
    <t>* 인프라 구축 및 학습 (초급)
- 솔루션 설치 
- 학습관리 수행
- 단위/통합테스트 지원, 안정화 지원 외</t>
    <phoneticPr fontId="2" type="noConversion"/>
  </si>
  <si>
    <t>* 사업수행 총괄 (PL, 고급)
- 솔루션 납품 지원 (설치/설정 외)
- 학습관리 수행 지원
- 단위/통합테스트 지원, 안정화 지원 외</t>
    <phoneticPr fontId="2" type="noConversion"/>
  </si>
  <si>
    <t>비식별화 서버</t>
    <phoneticPr fontId="2" type="noConversion"/>
  </si>
  <si>
    <t>* 서버 라이선스
* 1식/16Core</t>
    <phoneticPr fontId="2" type="noConversion"/>
  </si>
  <si>
    <t>AI사업부 이상우 이사</t>
    <phoneticPr fontId="2" type="noConversion"/>
  </si>
  <si>
    <t>swlee@timbel.net, 010-8192-2222</t>
    <phoneticPr fontId="2" type="noConversion"/>
  </si>
  <si>
    <t>* 학습 데이터 가공 및 전사를 위한 공간및 장비(PC). 고객사 제공 
* 학습장비 사양은 장비 현황 및 당사 상황에 따라 변경이 있을 수 있음.</t>
    <phoneticPr fontId="2" type="noConversion"/>
  </si>
  <si>
    <t>SW 솔루션</t>
    <phoneticPr fontId="2" type="noConversion"/>
  </si>
  <si>
    <t>TTS 음성합성 엔진 라이선스
* 음성합성 및 관리시스템 통합형
* 최신 음성합성 알고리즘이 적용된 음성합성 엔진 적용
* TTS SSML 기능
* GPU기반 멀티채널 음성합성 서비스</t>
    <phoneticPr fontId="2" type="noConversion"/>
  </si>
  <si>
    <t>* 이중화 구성
* CPU:Intel Gold 3세대 2.9Ghz 동급 이상 기준
    - 고객사 제공</t>
    <phoneticPr fontId="2" type="noConversion"/>
  </si>
  <si>
    <t>* 서버 Spec 기준
   - 이중화 구성
   - DB이중화 필요시 MCCS 이중화솔루션 필요
   - 서버부하 최적화 기준 제시
   - 고객사 제공
* Master 2대 L4 세팅 
* Master 2대 연동되는 NAS 1TB (고객사 제공)
* CPU: Intel Gold 3세대 2.9Ghz 동급 이상 기준</t>
    <phoneticPr fontId="2" type="noConversion"/>
  </si>
  <si>
    <t>* 서버 Spec 기준
   - 이중화 구성
   - 서버부하 최적화 기준 제시
   - 고객사 제공
* Master 연동되는 NAS 1TB 필요(고객사제공)
* CPU: Intel Gold 3세대 2.9Ghz 동급 이상 기준</t>
    <phoneticPr fontId="2" type="noConversion"/>
  </si>
  <si>
    <t>* 구성 (Linux based)
- CPU : 16 Core
- RAM : 64 GB
- SSD : 600 GB 
- GPU : Nvidia A10G 24GB 동급 기준</t>
    <phoneticPr fontId="2" type="noConversion"/>
  </si>
  <si>
    <t>* 구성 (Linux based)
- CPU : 16 Core
- RAM : 128 GB
- SSD : 600 GB 
- GPU : Nvidia L40s 48GB 동급 기준</t>
    <phoneticPr fontId="2" type="noConversion"/>
  </si>
  <si>
    <t>* 학습데이터는 고객사 제공
* 필요 시 추가 학습 가능
* 표준가격: 200,000원 (20%할인)</t>
    <phoneticPr fontId="2" type="noConversion"/>
  </si>
  <si>
    <t>음성인식 채널 라이선스
* 배치 및 실시간 API
* 관리자페이지 외
* S/W Spec.
  - Inc. Concurrent Channel License (100 CH)
  - Linux</t>
    <phoneticPr fontId="2" type="noConversion"/>
  </si>
  <si>
    <t>TTS 음성합성 한국어 채널 라이선스
* 배치 및 실시간 API
* 관리자페이지
* S/W Spec.
- Inc. Concurrent Channel License (100 CH)
- Linux</t>
    <phoneticPr fontId="2" type="noConversion"/>
  </si>
  <si>
    <t xml:space="preserve">* 채널 라이선스
* 총 채널수:100 CH </t>
    <phoneticPr fontId="2" type="noConversion"/>
  </si>
  <si>
    <t xml:space="preserve">* 채널 라이선스
* 총 채널수: 100 CH </t>
    <phoneticPr fontId="2" type="noConversion"/>
  </si>
  <si>
    <t>KB국민은행 팀벨 STT/TTS 100ch 견적서</t>
    <phoneticPr fontId="2" type="noConversion"/>
  </si>
  <si>
    <r>
      <t>* 구성 (Linux based)
- CPU : 32 Core
- RAM : 128 GB
- SSD : 900 GB 
- GPU :</t>
    </r>
    <r>
      <rPr>
        <sz val="14"/>
        <color rgb="FFFF0000"/>
        <rFont val="KoPubWorld돋움체 Medium"/>
        <family val="3"/>
        <charset val="129"/>
      </rPr>
      <t xml:space="preserve"> Nvidia L4 24GB</t>
    </r>
    <r>
      <rPr>
        <sz val="14"/>
        <color theme="1"/>
        <rFont val="KoPubWorld돋움체 Medium"/>
        <family val="3"/>
        <charset val="129"/>
      </rPr>
      <t xml:space="preserve"> 동급 기준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</si>
</sst>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"/>
    <numFmt numFmtId="177" formatCode="_-&quot;₩&quot;* #,##0.0_-;\-&quot;₩&quot;* #,##0.0_-;_-&quot;₩&quot;* &quot;-&quot;?_-;_-@_-"/>
  </numFmts>
  <fonts count="31">
    <font>
      <sz val="11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KoPubWorld돋움체 Medium"/>
      <family val="3"/>
      <charset val="129"/>
    </font>
    <font>
      <sz val="10"/>
      <color indexed="8"/>
      <name val="KoPubWorld돋움체 Medium"/>
      <family val="3"/>
      <charset val="129"/>
    </font>
    <font>
      <b/>
      <sz val="9"/>
      <color indexed="8"/>
      <name val="KoPubWorld돋움체 Medium"/>
      <family val="3"/>
      <charset val="129"/>
    </font>
    <font>
      <b/>
      <sz val="8"/>
      <color indexed="8"/>
      <name val="KoPubWorld돋움체 Medium"/>
      <family val="3"/>
      <charset val="129"/>
    </font>
    <font>
      <sz val="12"/>
      <color indexed="8"/>
      <name val="KoPubWorld돋움체 Medium"/>
      <family val="3"/>
      <charset val="129"/>
    </font>
    <font>
      <sz val="9"/>
      <color indexed="8"/>
      <name val="KoPubWorld돋움체 Medium"/>
      <family val="3"/>
      <charset val="129"/>
    </font>
    <font>
      <b/>
      <sz val="28"/>
      <color rgb="FF000000"/>
      <name val="KoPubWorld돋움체 Medium"/>
      <family val="3"/>
      <charset val="129"/>
    </font>
    <font>
      <sz val="6"/>
      <color indexed="8"/>
      <name val="KoPubWorld돋움체 Medium"/>
      <family val="3"/>
      <charset val="129"/>
    </font>
    <font>
      <b/>
      <sz val="6"/>
      <color indexed="8"/>
      <name val="KoPubWorld돋움체 Medium"/>
      <family val="3"/>
      <charset val="129"/>
    </font>
    <font>
      <sz val="9"/>
      <color theme="0" tint="-0.499984740745262"/>
      <name val="KoPubWorld돋움체 Medium"/>
      <family val="3"/>
      <charset val="129"/>
    </font>
    <font>
      <b/>
      <sz val="14"/>
      <color theme="1" tint="0.249977111117893"/>
      <name val="KoPubWorld돋움체 Medium"/>
      <family val="3"/>
      <charset val="129"/>
    </font>
    <font>
      <sz val="14"/>
      <color theme="1" tint="0.249977111117893"/>
      <name val="KoPubWorld돋움체 Medium"/>
      <family val="3"/>
      <charset val="129"/>
    </font>
    <font>
      <b/>
      <sz val="14"/>
      <color rgb="FFFF0000"/>
      <name val="KoPubWorld돋움체 Medium"/>
      <family val="3"/>
      <charset val="129"/>
    </font>
    <font>
      <u/>
      <sz val="11"/>
      <color theme="10"/>
      <name val="돋움"/>
      <family val="3"/>
      <charset val="129"/>
    </font>
    <font>
      <sz val="12"/>
      <color theme="1" tint="0.499984740745262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sz val="11"/>
      <color theme="1"/>
      <name val="KoPubWorld돋움체 Medium"/>
      <family val="3"/>
      <charset val="129"/>
    </font>
    <font>
      <sz val="12"/>
      <color theme="1"/>
      <name val="KoPubWorld돋움체 Medium"/>
      <family val="3"/>
      <charset val="129"/>
    </font>
    <font>
      <sz val="16"/>
      <color theme="1"/>
      <name val="KoPubWorld돋움체 Medium"/>
      <family val="3"/>
      <charset val="129"/>
    </font>
    <font>
      <b/>
      <sz val="16"/>
      <color theme="1"/>
      <name val="KoPubWorld돋움체 Medium"/>
      <family val="3"/>
      <charset val="129"/>
    </font>
    <font>
      <sz val="12"/>
      <color theme="1" tint="0.249977111117893"/>
      <name val="KoPub돋움체 Medium"/>
      <family val="3"/>
      <charset val="129"/>
    </font>
    <font>
      <sz val="12"/>
      <color theme="1" tint="0.499984740745262"/>
      <name val="KoPub돋움체 Medium"/>
      <family val="3"/>
      <charset val="129"/>
    </font>
    <font>
      <sz val="12"/>
      <color indexed="8"/>
      <name val="KoPub돋움체 Medium"/>
      <family val="3"/>
      <charset val="129"/>
    </font>
    <font>
      <sz val="12"/>
      <color theme="1" tint="0.34998626667073579"/>
      <name val="KoPub돋움체 Medium"/>
      <family val="3"/>
      <charset val="129"/>
    </font>
    <font>
      <sz val="14"/>
      <name val="KoPubWorld돋움체 Medium"/>
      <family val="3"/>
      <charset val="129"/>
    </font>
    <font>
      <sz val="13"/>
      <name val="KoPubWorld돋움체 Medium"/>
      <family val="3"/>
      <charset val="129"/>
    </font>
    <font>
      <sz val="13"/>
      <color theme="1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rgb="FFFFFFC5"/>
        <bgColor indexed="0"/>
      </patternFill>
    </fill>
  </fills>
  <borders count="24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/>
      <bottom style="thin">
        <color theme="0" tint="-0.24994659260841701"/>
      </bottom>
      <diagonal/>
    </border>
    <border>
      <left style="thin">
        <color theme="1" tint="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2499465926084170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24994659260841701"/>
      </left>
      <right/>
      <top style="thin">
        <color theme="1" tint="0.499984740745262"/>
      </top>
      <bottom/>
      <diagonal/>
    </border>
    <border>
      <left style="thin">
        <color theme="1" tint="0.2499465926084170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24994659260841701"/>
      </left>
      <right style="thin">
        <color theme="1" tint="0.499984740745262"/>
      </right>
      <top style="thin">
        <color theme="1" tint="0.499984740745262"/>
      </top>
      <bottom style="thin">
        <color theme="1" tint="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24994659260841701"/>
      </bottom>
      <diagonal/>
    </border>
    <border>
      <left style="thin">
        <color theme="1" tint="0.499984740745262"/>
      </left>
      <right style="thin">
        <color theme="1" tint="0.24994659260841701"/>
      </right>
      <top style="thin">
        <color theme="1" tint="0.499984740745262"/>
      </top>
      <bottom style="thin">
        <color theme="1" tint="0.24994659260841701"/>
      </bottom>
      <diagonal/>
    </border>
    <border>
      <left/>
      <right style="thin">
        <color theme="1" tint="0.499984740745262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4" xfId="1" applyNumberFormat="1" applyFont="1" applyFill="1" applyBorder="1" applyAlignment="1">
      <alignment horizontal="center" vertical="center"/>
    </xf>
    <xf numFmtId="41" fontId="18" fillId="0" borderId="4" xfId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8" fillId="5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3" fillId="0" borderId="8" xfId="0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14" fontId="12" fillId="0" borderId="10" xfId="0" applyNumberFormat="1" applyFont="1" applyBorder="1"/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3" fillId="4" borderId="13" xfId="0" applyFont="1" applyFill="1" applyBorder="1" applyAlignment="1">
      <alignment horizontal="distributed" vertical="center" inden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3" fillId="4" borderId="14" xfId="0" applyFont="1" applyFill="1" applyBorder="1" applyAlignment="1">
      <alignment horizontal="distributed" vertical="center" indent="1"/>
    </xf>
    <xf numFmtId="0" fontId="14" fillId="0" borderId="0" xfId="0" applyFont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12" xfId="0" applyFont="1" applyBorder="1" applyAlignment="1">
      <alignment horizontal="right" vertical="center"/>
    </xf>
    <xf numFmtId="49" fontId="18" fillId="6" borderId="16" xfId="1" quotePrefix="1" applyNumberFormat="1" applyFont="1" applyFill="1" applyBorder="1" applyAlignment="1">
      <alignment vertical="center" wrapText="1"/>
    </xf>
    <xf numFmtId="0" fontId="18" fillId="0" borderId="16" xfId="1" applyNumberFormat="1" applyFont="1" applyFill="1" applyBorder="1" applyAlignment="1">
      <alignment vertical="center" wrapText="1"/>
    </xf>
    <xf numFmtId="0" fontId="22" fillId="7" borderId="4" xfId="0" applyFont="1" applyFill="1" applyBorder="1" applyAlignment="1">
      <alignment horizontal="center" vertical="center"/>
    </xf>
    <xf numFmtId="41" fontId="22" fillId="7" borderId="16" xfId="1" applyFont="1" applyFill="1" applyBorder="1" applyAlignment="1">
      <alignment horizontal="center" vertical="center"/>
    </xf>
    <xf numFmtId="0" fontId="27" fillId="0" borderId="16" xfId="0" quotePrefix="1" applyFont="1" applyBorder="1" applyAlignment="1">
      <alignment vertical="center" wrapText="1"/>
    </xf>
    <xf numFmtId="177" fontId="20" fillId="0" borderId="0" xfId="0" applyNumberFormat="1" applyFont="1" applyAlignment="1">
      <alignment vertical="center"/>
    </xf>
    <xf numFmtId="42" fontId="20" fillId="0" borderId="0" xfId="0" applyNumberFormat="1" applyFont="1" applyAlignment="1">
      <alignment vertical="center"/>
    </xf>
    <xf numFmtId="0" fontId="27" fillId="0" borderId="16" xfId="0" applyFont="1" applyBorder="1" applyAlignment="1">
      <alignment vertical="center" wrapText="1"/>
    </xf>
    <xf numFmtId="49" fontId="27" fillId="6" borderId="16" xfId="1" quotePrefix="1" applyNumberFormat="1" applyFont="1" applyFill="1" applyBorder="1" applyAlignment="1">
      <alignment vertical="center" wrapText="1"/>
    </xf>
    <xf numFmtId="0" fontId="27" fillId="5" borderId="16" xfId="1" applyNumberFormat="1" applyFont="1" applyFill="1" applyBorder="1" applyAlignment="1">
      <alignment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4" xfId="1" applyNumberFormat="1" applyFont="1" applyFill="1" applyBorder="1" applyAlignment="1">
      <alignment horizontal="center" vertical="center"/>
    </xf>
    <xf numFmtId="41" fontId="27" fillId="0" borderId="4" xfId="1" applyFont="1" applyFill="1" applyBorder="1" applyAlignment="1">
      <alignment horizontal="center" vertical="center"/>
    </xf>
    <xf numFmtId="0" fontId="18" fillId="5" borderId="4" xfId="1" applyNumberFormat="1" applyFont="1" applyFill="1" applyBorder="1" applyAlignment="1">
      <alignment horizontal="center" vertical="center"/>
    </xf>
    <xf numFmtId="41" fontId="18" fillId="5" borderId="4" xfId="1" applyFont="1" applyFill="1" applyBorder="1" applyAlignment="1">
      <alignment horizontal="center" vertical="center"/>
    </xf>
    <xf numFmtId="41" fontId="20" fillId="0" borderId="0" xfId="1" applyFont="1" applyAlignment="1">
      <alignment vertical="center"/>
    </xf>
    <xf numFmtId="41" fontId="20" fillId="0" borderId="0" xfId="0" applyNumberFormat="1" applyFont="1" applyAlignment="1">
      <alignment vertical="center"/>
    </xf>
    <xf numFmtId="0" fontId="28" fillId="0" borderId="16" xfId="0" quotePrefix="1" applyFont="1" applyBorder="1" applyAlignment="1">
      <alignment vertical="center" wrapText="1"/>
    </xf>
    <xf numFmtId="0" fontId="29" fillId="0" borderId="4" xfId="1" applyNumberFormat="1" applyFont="1" applyFill="1" applyBorder="1" applyAlignment="1">
      <alignment vertical="center" wrapText="1"/>
    </xf>
    <xf numFmtId="0" fontId="28" fillId="5" borderId="16" xfId="0" quotePrefix="1" applyFont="1" applyFill="1" applyBorder="1" applyAlignment="1">
      <alignment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 indent="1"/>
    </xf>
    <xf numFmtId="42" fontId="18" fillId="0" borderId="5" xfId="1" applyNumberFormat="1" applyFont="1" applyFill="1" applyBorder="1" applyAlignment="1">
      <alignment horizontal="right" vertical="center"/>
    </xf>
    <xf numFmtId="42" fontId="18" fillId="0" borderId="6" xfId="1" applyNumberFormat="1" applyFont="1" applyFill="1" applyBorder="1" applyAlignment="1">
      <alignment horizontal="right" vertical="center"/>
    </xf>
    <xf numFmtId="42" fontId="18" fillId="0" borderId="4" xfId="1" applyNumberFormat="1" applyFont="1" applyFill="1" applyBorder="1" applyAlignment="1">
      <alignment horizontal="right" vertical="center"/>
    </xf>
    <xf numFmtId="0" fontId="18" fillId="5" borderId="18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1"/>
    </xf>
    <xf numFmtId="0" fontId="18" fillId="0" borderId="6" xfId="0" applyFont="1" applyBorder="1" applyAlignment="1">
      <alignment horizontal="left" vertical="center" wrapText="1" indent="1"/>
    </xf>
    <xf numFmtId="42" fontId="18" fillId="5" borderId="5" xfId="1" applyNumberFormat="1" applyFont="1" applyFill="1" applyBorder="1" applyAlignment="1">
      <alignment horizontal="right" vertical="center"/>
    </xf>
    <xf numFmtId="42" fontId="18" fillId="5" borderId="6" xfId="1" applyNumberFormat="1" applyFont="1" applyFill="1" applyBorder="1" applyAlignment="1">
      <alignment horizontal="right" vertical="center"/>
    </xf>
    <xf numFmtId="42" fontId="18" fillId="5" borderId="4" xfId="1" applyNumberFormat="1" applyFont="1" applyFill="1" applyBorder="1" applyAlignment="1">
      <alignment horizontal="right" vertical="center"/>
    </xf>
    <xf numFmtId="0" fontId="18" fillId="6" borderId="15" xfId="0" applyFont="1" applyFill="1" applyBorder="1" applyAlignment="1">
      <alignment horizontal="right" vertical="center" wrapText="1" indent="1"/>
    </xf>
    <xf numFmtId="0" fontId="18" fillId="6" borderId="1" xfId="0" applyFont="1" applyFill="1" applyBorder="1" applyAlignment="1">
      <alignment horizontal="right" vertical="center" wrapText="1" indent="1"/>
    </xf>
    <xf numFmtId="0" fontId="18" fillId="6" borderId="6" xfId="0" applyFont="1" applyFill="1" applyBorder="1" applyAlignment="1">
      <alignment horizontal="right" vertical="center" wrapText="1" indent="1"/>
    </xf>
    <xf numFmtId="42" fontId="18" fillId="6" borderId="5" xfId="1" applyNumberFormat="1" applyFont="1" applyFill="1" applyBorder="1" applyAlignment="1">
      <alignment horizontal="center" vertical="center"/>
    </xf>
    <xf numFmtId="42" fontId="18" fillId="6" borderId="6" xfId="1" applyNumberFormat="1" applyFont="1" applyFill="1" applyBorder="1" applyAlignment="1">
      <alignment horizontal="center" vertical="center"/>
    </xf>
    <xf numFmtId="0" fontId="27" fillId="0" borderId="15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left" vertical="center" wrapText="1" indent="1"/>
    </xf>
    <xf numFmtId="0" fontId="27" fillId="0" borderId="1" xfId="0" applyFont="1" applyBorder="1" applyAlignment="1">
      <alignment horizontal="left" vertical="center" wrapText="1" indent="1"/>
    </xf>
    <xf numFmtId="0" fontId="27" fillId="0" borderId="6" xfId="0" applyFont="1" applyBorder="1" applyAlignment="1">
      <alignment horizontal="left" vertical="center" wrapText="1" indent="1"/>
    </xf>
    <xf numFmtId="42" fontId="27" fillId="0" borderId="5" xfId="1" applyNumberFormat="1" applyFont="1" applyFill="1" applyBorder="1" applyAlignment="1">
      <alignment horizontal="right" vertical="center"/>
    </xf>
    <xf numFmtId="42" fontId="27" fillId="0" borderId="6" xfId="1" applyNumberFormat="1" applyFont="1" applyFill="1" applyBorder="1" applyAlignment="1">
      <alignment horizontal="right" vertical="center"/>
    </xf>
    <xf numFmtId="0" fontId="17" fillId="0" borderId="1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3" fillId="4" borderId="0" xfId="0" applyFont="1" applyFill="1" applyAlignment="1">
      <alignment horizontal="right" vertical="center" indent="1"/>
    </xf>
    <xf numFmtId="0" fontId="23" fillId="4" borderId="12" xfId="0" applyFont="1" applyFill="1" applyBorder="1" applyAlignment="1">
      <alignment horizontal="right" vertical="center" indent="1"/>
    </xf>
    <xf numFmtId="0" fontId="22" fillId="7" borderId="15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176" fontId="22" fillId="7" borderId="4" xfId="0" applyNumberFormat="1" applyFont="1" applyFill="1" applyBorder="1" applyAlignment="1">
      <alignment horizontal="center" vertical="center"/>
    </xf>
    <xf numFmtId="41" fontId="22" fillId="7" borderId="4" xfId="1" applyFont="1" applyFill="1" applyBorder="1" applyAlignment="1">
      <alignment horizontal="center" vertical="center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wrapText="1" indent="1"/>
    </xf>
    <xf numFmtId="42" fontId="27" fillId="0" borderId="4" xfId="1" applyNumberFormat="1" applyFont="1" applyFill="1" applyBorder="1" applyAlignment="1">
      <alignment horizontal="right" vertical="center"/>
    </xf>
    <xf numFmtId="0" fontId="27" fillId="6" borderId="15" xfId="0" applyFont="1" applyFill="1" applyBorder="1" applyAlignment="1">
      <alignment horizontal="right" vertical="center" wrapText="1" indent="1"/>
    </xf>
    <xf numFmtId="0" fontId="27" fillId="6" borderId="1" xfId="0" applyFont="1" applyFill="1" applyBorder="1" applyAlignment="1">
      <alignment horizontal="right" vertical="center" wrapText="1" indent="1"/>
    </xf>
    <xf numFmtId="0" fontId="27" fillId="6" borderId="6" xfId="0" applyFont="1" applyFill="1" applyBorder="1" applyAlignment="1">
      <alignment horizontal="right" vertical="center" wrapText="1" indent="1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6" fillId="4" borderId="0" xfId="2" applyFill="1" applyBorder="1" applyAlignment="1">
      <alignment horizontal="right" vertical="center" indent="1"/>
    </xf>
    <xf numFmtId="42" fontId="27" fillId="6" borderId="5" xfId="1" applyNumberFormat="1" applyFont="1" applyFill="1" applyBorder="1" applyAlignment="1">
      <alignment horizontal="center" vertical="center"/>
    </xf>
    <xf numFmtId="42" fontId="27" fillId="6" borderId="6" xfId="1" applyNumberFormat="1" applyFont="1" applyFill="1" applyBorder="1" applyAlignment="1">
      <alignment horizontal="center" vertical="center"/>
    </xf>
    <xf numFmtId="42" fontId="18" fillId="0" borderId="4" xfId="1" applyNumberFormat="1" applyFont="1" applyFill="1" applyBorder="1" applyAlignment="1">
      <alignment horizontal="center" vertical="center"/>
    </xf>
    <xf numFmtId="0" fontId="14" fillId="3" borderId="19" xfId="0" quotePrefix="1" applyFont="1" applyFill="1" applyBorder="1" applyAlignment="1">
      <alignment horizontal="left" vertical="center" wrapText="1" indent="1"/>
    </xf>
    <xf numFmtId="0" fontId="14" fillId="3" borderId="4" xfId="0" quotePrefix="1" applyFont="1" applyFill="1" applyBorder="1" applyAlignment="1">
      <alignment horizontal="left" vertical="center" wrapText="1" indent="1"/>
    </xf>
    <xf numFmtId="0" fontId="14" fillId="3" borderId="20" xfId="0" quotePrefix="1" applyFont="1" applyFill="1" applyBorder="1" applyAlignment="1">
      <alignment horizontal="left" vertical="center" wrapText="1" indent="1"/>
    </xf>
    <xf numFmtId="0" fontId="14" fillId="3" borderId="21" xfId="0" quotePrefix="1" applyFont="1" applyFill="1" applyBorder="1" applyAlignment="1">
      <alignment horizontal="left" vertical="center" wrapText="1" indent="1"/>
    </xf>
    <xf numFmtId="0" fontId="18" fillId="6" borderId="4" xfId="0" applyFont="1" applyFill="1" applyBorder="1" applyAlignment="1">
      <alignment horizontal="center" vertical="center" wrapText="1"/>
    </xf>
    <xf numFmtId="3" fontId="18" fillId="2" borderId="4" xfId="0" applyNumberFormat="1" applyFont="1" applyFill="1" applyBorder="1" applyAlignment="1">
      <alignment horizontal="right" vertical="center" indent="1"/>
    </xf>
    <xf numFmtId="3" fontId="18" fillId="2" borderId="16" xfId="0" applyNumberFormat="1" applyFont="1" applyFill="1" applyBorder="1" applyAlignment="1">
      <alignment horizontal="right" vertical="center" indent="1"/>
    </xf>
    <xf numFmtId="0" fontId="15" fillId="6" borderId="21" xfId="0" applyFont="1" applyFill="1" applyBorder="1" applyAlignment="1">
      <alignment horizontal="center" vertical="center" wrapText="1"/>
    </xf>
    <xf numFmtId="3" fontId="15" fillId="2" borderId="21" xfId="0" applyNumberFormat="1" applyFont="1" applyFill="1" applyBorder="1" applyAlignment="1">
      <alignment horizontal="right" vertical="center" indent="1"/>
    </xf>
    <xf numFmtId="3" fontId="15" fillId="2" borderId="22" xfId="0" applyNumberFormat="1" applyFont="1" applyFill="1" applyBorder="1" applyAlignment="1">
      <alignment horizontal="right" vertical="center" indent="1"/>
    </xf>
    <xf numFmtId="0" fontId="18" fillId="0" borderId="11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left" vertical="center" wrapText="1" indent="1"/>
    </xf>
    <xf numFmtId="42" fontId="18" fillId="5" borderId="4" xfId="1" applyNumberFormat="1" applyFont="1" applyFill="1" applyBorder="1" applyAlignment="1">
      <alignment horizontal="center" vertical="center"/>
    </xf>
    <xf numFmtId="0" fontId="18" fillId="6" borderId="19" xfId="0" applyFont="1" applyFill="1" applyBorder="1" applyAlignment="1">
      <alignment horizontal="right" vertical="center" wrapText="1" indent="1"/>
    </xf>
    <xf numFmtId="0" fontId="18" fillId="6" borderId="4" xfId="0" applyFont="1" applyFill="1" applyBorder="1" applyAlignment="1">
      <alignment horizontal="right" vertical="center" wrapText="1" indent="1"/>
    </xf>
    <xf numFmtId="42" fontId="18" fillId="6" borderId="4" xfId="1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FFFC5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53739</xdr:colOff>
      <xdr:row>0</xdr:row>
      <xdr:rowOff>152052</xdr:rowOff>
    </xdr:from>
    <xdr:to>
      <xdr:col>1</xdr:col>
      <xdr:colOff>612063</xdr:colOff>
      <xdr:row>2</xdr:row>
      <xdr:rowOff>1015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950FB81-0818-4A00-82EF-DD8F38999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39" y="152052"/>
          <a:ext cx="2018728" cy="727365"/>
        </a:xfrm>
        <a:prstGeom prst="rect">
          <a:avLst/>
        </a:prstGeom>
      </xdr:spPr>
    </xdr:pic>
    <xdr:clientData/>
  </xdr:twoCellAnchor>
  <xdr:twoCellAnchor editAs="oneCell">
    <xdr:from>
      <xdr:col>10</xdr:col>
      <xdr:colOff>703810</xdr:colOff>
      <xdr:row>0</xdr:row>
      <xdr:rowOff>134143</xdr:rowOff>
    </xdr:from>
    <xdr:to>
      <xdr:col>12</xdr:col>
      <xdr:colOff>3687309</xdr:colOff>
      <xdr:row>5</xdr:row>
      <xdr:rowOff>112140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C0A4E16-D915-4E07-A100-86F224A64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6239" y="134143"/>
          <a:ext cx="4840140" cy="15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wlee@timbel.net,%20010-8192-2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10ED-CFAB-496E-AD44-B2ABF4B22A75}">
  <sheetPr>
    <tabColor theme="5"/>
    <pageSetUpPr fitToPage="1"/>
  </sheetPr>
  <dimension ref="A1:U51"/>
  <sheetViews>
    <sheetView showGridLines="0" tabSelected="1" view="pageBreakPreview" zoomScale="70" zoomScaleNormal="70" zoomScaleSheetLayoutView="70" zoomScalePageLayoutView="70" workbookViewId="0">
      <selection activeCell="F8" sqref="F8"/>
    </sheetView>
  </sheetViews>
  <sheetFormatPr defaultColWidth="8.83203125" defaultRowHeight="14"/>
  <cols>
    <col min="1" max="1" width="18.83203125" style="1" customWidth="1"/>
    <col min="2" max="2" width="8.6640625" style="1" customWidth="1"/>
    <col min="3" max="4" width="5.25" style="1" customWidth="1"/>
    <col min="5" max="5" width="7.08203125" style="1" customWidth="1"/>
    <col min="6" max="6" width="47.4140625" style="1" customWidth="1"/>
    <col min="7" max="8" width="9.1640625" style="2" customWidth="1"/>
    <col min="9" max="9" width="6.6640625" style="1" customWidth="1"/>
    <col min="10" max="10" width="13.58203125" style="1" customWidth="1"/>
    <col min="11" max="11" width="9.83203125" style="1" customWidth="1"/>
    <col min="12" max="12" width="11.1640625" style="1" customWidth="1"/>
    <col min="13" max="13" width="48.4140625" style="1" customWidth="1"/>
    <col min="14" max="14" width="8.83203125" style="1"/>
    <col min="15" max="15" width="35.25" style="1" customWidth="1"/>
    <col min="16" max="19" width="21.75" style="1" customWidth="1"/>
    <col min="20" max="21" width="14.6640625" style="1" customWidth="1"/>
    <col min="22" max="16384" width="8.83203125" style="1"/>
  </cols>
  <sheetData>
    <row r="1" spans="1:21" ht="27.9" customHeight="1">
      <c r="A1" s="15"/>
      <c r="B1" s="16"/>
      <c r="C1" s="16"/>
      <c r="D1" s="16"/>
      <c r="E1" s="16"/>
      <c r="F1" s="16"/>
      <c r="G1" s="17"/>
      <c r="H1" s="17"/>
      <c r="I1" s="16"/>
      <c r="J1" s="16"/>
      <c r="K1" s="16"/>
      <c r="L1" s="16"/>
      <c r="M1" s="18"/>
    </row>
    <row r="2" spans="1:21" s="3" customFormat="1" ht="35.5">
      <c r="A2" s="106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1:21" s="3" customFormat="1" ht="12.9" customHeight="1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</row>
    <row r="4" spans="1:21" s="3" customFormat="1" ht="24.9" customHeight="1">
      <c r="A4" s="22" t="s">
        <v>1</v>
      </c>
      <c r="B4" s="13"/>
      <c r="C4" s="23" t="s">
        <v>43</v>
      </c>
      <c r="D4" s="24"/>
      <c r="E4" s="24"/>
      <c r="F4" s="24"/>
      <c r="G4" s="25"/>
      <c r="H4" s="109"/>
      <c r="I4" s="110"/>
      <c r="J4" s="110"/>
      <c r="K4" s="111"/>
      <c r="L4" s="111"/>
      <c r="M4" s="112"/>
      <c r="N4" s="4"/>
    </row>
    <row r="5" spans="1:21" s="3" customFormat="1" ht="24.9" customHeight="1">
      <c r="A5" s="27" t="s">
        <v>19</v>
      </c>
      <c r="B5" s="14"/>
      <c r="C5" s="23" t="s">
        <v>71</v>
      </c>
      <c r="D5" s="24"/>
      <c r="E5" s="24"/>
      <c r="F5" s="24"/>
      <c r="G5" s="25"/>
      <c r="H5" s="109"/>
      <c r="I5" s="110"/>
      <c r="J5" s="110"/>
      <c r="K5" s="26"/>
      <c r="L5" s="110"/>
      <c r="M5" s="113"/>
      <c r="N5" s="4"/>
    </row>
    <row r="6" spans="1:21" s="3" customFormat="1" ht="24.65" customHeight="1">
      <c r="A6" s="22" t="s">
        <v>2</v>
      </c>
      <c r="B6" s="13"/>
      <c r="C6" s="114">
        <v>260609002</v>
      </c>
      <c r="D6" s="114"/>
      <c r="E6" s="114"/>
      <c r="F6" s="28"/>
      <c r="G6" s="25"/>
      <c r="H6" s="109"/>
      <c r="I6" s="110"/>
      <c r="J6" s="110"/>
      <c r="K6" s="26"/>
      <c r="L6" s="110"/>
      <c r="M6" s="113"/>
      <c r="N6" s="4"/>
    </row>
    <row r="7" spans="1:21" s="3" customFormat="1" ht="20.149999999999999" customHeight="1">
      <c r="A7" s="29"/>
      <c r="B7" s="30"/>
      <c r="C7" s="30"/>
      <c r="D7" s="30"/>
      <c r="E7" s="30"/>
      <c r="F7" s="31"/>
      <c r="G7" s="25"/>
      <c r="H7" s="31"/>
      <c r="I7" s="32"/>
      <c r="J7" s="33"/>
      <c r="K7" s="91" t="s">
        <v>56</v>
      </c>
      <c r="L7" s="91"/>
      <c r="M7" s="92"/>
    </row>
    <row r="8" spans="1:21" s="3" customFormat="1" ht="15.9" customHeight="1">
      <c r="A8" s="29"/>
      <c r="B8" s="30"/>
      <c r="C8" s="30"/>
      <c r="D8" s="30"/>
      <c r="E8" s="30"/>
      <c r="F8" s="31"/>
      <c r="G8" s="25"/>
      <c r="H8" s="31"/>
      <c r="I8" s="34"/>
      <c r="J8" s="35"/>
      <c r="K8" s="115" t="s">
        <v>57</v>
      </c>
      <c r="L8" s="91"/>
      <c r="M8" s="92"/>
    </row>
    <row r="9" spans="1:21" s="3" customFormat="1" ht="20.149999999999999" customHeight="1">
      <c r="A9" s="89" t="s">
        <v>20</v>
      </c>
      <c r="B9" s="90"/>
      <c r="C9" s="90"/>
      <c r="D9" s="90"/>
      <c r="E9" s="90"/>
      <c r="F9" s="90"/>
      <c r="G9" s="25"/>
      <c r="H9" s="25"/>
      <c r="I9" s="31"/>
      <c r="J9" s="36"/>
      <c r="K9" s="91" t="s">
        <v>3</v>
      </c>
      <c r="L9" s="91"/>
      <c r="M9" s="92"/>
    </row>
    <row r="10" spans="1:21" s="5" customFormat="1" ht="15.5">
      <c r="A10" s="37"/>
      <c r="B10" s="38"/>
      <c r="C10" s="38"/>
      <c r="D10" s="38"/>
      <c r="E10" s="38"/>
      <c r="F10" s="38"/>
      <c r="G10" s="39"/>
      <c r="H10" s="39"/>
      <c r="I10" s="38"/>
      <c r="J10" s="36"/>
      <c r="K10" s="35"/>
      <c r="L10" s="40"/>
      <c r="M10" s="41"/>
    </row>
    <row r="11" spans="1:21" s="11" customFormat="1" ht="36" customHeight="1">
      <c r="A11" s="93" t="s">
        <v>4</v>
      </c>
      <c r="B11" s="94"/>
      <c r="C11" s="95" t="s">
        <v>5</v>
      </c>
      <c r="D11" s="95"/>
      <c r="E11" s="95"/>
      <c r="F11" s="95"/>
      <c r="G11" s="44" t="s">
        <v>6</v>
      </c>
      <c r="H11" s="44" t="s">
        <v>7</v>
      </c>
      <c r="I11" s="96" t="s">
        <v>8</v>
      </c>
      <c r="J11" s="96"/>
      <c r="K11" s="97" t="s">
        <v>9</v>
      </c>
      <c r="L11" s="97"/>
      <c r="M11" s="45" t="s">
        <v>10</v>
      </c>
    </row>
    <row r="12" spans="1:21" s="7" customFormat="1" ht="33" customHeight="1">
      <c r="A12" s="98" t="s">
        <v>59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100"/>
      <c r="N12" s="6"/>
    </row>
    <row r="13" spans="1:21" s="7" customFormat="1" ht="111" customHeight="1">
      <c r="A13" s="63" t="s">
        <v>39</v>
      </c>
      <c r="B13" s="64"/>
      <c r="C13" s="65" t="s">
        <v>28</v>
      </c>
      <c r="D13" s="65"/>
      <c r="E13" s="65"/>
      <c r="F13" s="65"/>
      <c r="G13" s="8">
        <v>1</v>
      </c>
      <c r="H13" s="9" t="s">
        <v>11</v>
      </c>
      <c r="I13" s="68">
        <v>0</v>
      </c>
      <c r="J13" s="68"/>
      <c r="K13" s="68">
        <f>I13*G13</f>
        <v>0</v>
      </c>
      <c r="L13" s="68"/>
      <c r="M13" s="49" t="s">
        <v>34</v>
      </c>
      <c r="O13" s="47"/>
    </row>
    <row r="14" spans="1:21" s="7" customFormat="1" ht="135.9" customHeight="1">
      <c r="A14" s="63" t="s">
        <v>40</v>
      </c>
      <c r="B14" s="64"/>
      <c r="C14" s="65" t="s">
        <v>67</v>
      </c>
      <c r="D14" s="65"/>
      <c r="E14" s="65"/>
      <c r="F14" s="65"/>
      <c r="G14" s="8">
        <v>1</v>
      </c>
      <c r="H14" s="9" t="s">
        <v>11</v>
      </c>
      <c r="I14" s="68">
        <v>100000000</v>
      </c>
      <c r="J14" s="68"/>
      <c r="K14" s="102">
        <f>I14*G14</f>
        <v>100000000</v>
      </c>
      <c r="L14" s="102"/>
      <c r="M14" s="49" t="s">
        <v>70</v>
      </c>
      <c r="O14" s="48"/>
      <c r="P14" s="58"/>
      <c r="R14" s="59"/>
      <c r="S14" s="58"/>
      <c r="T14" s="58"/>
      <c r="U14" s="58"/>
    </row>
    <row r="15" spans="1:21" s="7" customFormat="1" ht="17.5">
      <c r="A15" s="52"/>
      <c r="B15" s="53"/>
      <c r="C15" s="101" t="s">
        <v>37</v>
      </c>
      <c r="D15" s="101"/>
      <c r="E15" s="101"/>
      <c r="F15" s="101"/>
      <c r="G15" s="54"/>
      <c r="H15" s="55"/>
      <c r="I15" s="102"/>
      <c r="J15" s="102"/>
      <c r="K15" s="102">
        <f>-(K13+K14)*0.6</f>
        <v>-60000000</v>
      </c>
      <c r="L15" s="102"/>
      <c r="M15" s="49" t="s">
        <v>36</v>
      </c>
      <c r="O15" s="47"/>
      <c r="P15" s="58"/>
      <c r="Q15" s="58"/>
      <c r="R15" s="58"/>
      <c r="S15" s="58"/>
      <c r="T15" s="58"/>
      <c r="U15" s="58"/>
    </row>
    <row r="16" spans="1:21" s="7" customFormat="1" ht="42" customHeight="1">
      <c r="A16" s="103" t="s">
        <v>12</v>
      </c>
      <c r="B16" s="104"/>
      <c r="C16" s="104"/>
      <c r="D16" s="104"/>
      <c r="E16" s="104"/>
      <c r="F16" s="104"/>
      <c r="G16" s="104"/>
      <c r="H16" s="104"/>
      <c r="I16" s="104"/>
      <c r="J16" s="105"/>
      <c r="K16" s="116">
        <f>SUM(K13:L15)</f>
        <v>40000000</v>
      </c>
      <c r="L16" s="117"/>
      <c r="M16" s="50"/>
      <c r="P16" s="48"/>
      <c r="Q16" s="58"/>
      <c r="R16" s="48"/>
    </row>
    <row r="17" spans="1:18" s="7" customFormat="1" ht="108.65" customHeight="1">
      <c r="A17" s="82" t="s">
        <v>41</v>
      </c>
      <c r="B17" s="83"/>
      <c r="C17" s="84" t="s">
        <v>60</v>
      </c>
      <c r="D17" s="85"/>
      <c r="E17" s="85"/>
      <c r="F17" s="86"/>
      <c r="G17" s="54">
        <v>1</v>
      </c>
      <c r="H17" s="55" t="s">
        <v>11</v>
      </c>
      <c r="I17" s="87">
        <v>0</v>
      </c>
      <c r="J17" s="88"/>
      <c r="K17" s="87">
        <f>I17</f>
        <v>0</v>
      </c>
      <c r="L17" s="88"/>
      <c r="M17" s="49" t="s">
        <v>34</v>
      </c>
      <c r="O17" s="48"/>
      <c r="P17" s="58"/>
      <c r="Q17" s="58"/>
      <c r="R17" s="58"/>
    </row>
    <row r="18" spans="1:18" s="7" customFormat="1" ht="165.9" customHeight="1">
      <c r="A18" s="82" t="s">
        <v>42</v>
      </c>
      <c r="B18" s="83"/>
      <c r="C18" s="84" t="s">
        <v>68</v>
      </c>
      <c r="D18" s="85"/>
      <c r="E18" s="85"/>
      <c r="F18" s="86"/>
      <c r="G18" s="54">
        <v>1</v>
      </c>
      <c r="H18" s="55" t="s">
        <v>11</v>
      </c>
      <c r="I18" s="87">
        <v>80000000</v>
      </c>
      <c r="J18" s="88"/>
      <c r="K18" s="87">
        <f>G18*I18</f>
        <v>80000000</v>
      </c>
      <c r="L18" s="88"/>
      <c r="M18" s="49" t="s">
        <v>69</v>
      </c>
      <c r="O18" s="48"/>
      <c r="P18" s="48"/>
      <c r="Q18" s="58"/>
      <c r="R18" s="48"/>
    </row>
    <row r="19" spans="1:18" s="7" customFormat="1" ht="17.5">
      <c r="A19" s="52"/>
      <c r="B19" s="53"/>
      <c r="C19" s="101" t="s">
        <v>37</v>
      </c>
      <c r="D19" s="101"/>
      <c r="E19" s="101"/>
      <c r="F19" s="101"/>
      <c r="G19" s="54"/>
      <c r="H19" s="55"/>
      <c r="I19" s="102"/>
      <c r="J19" s="102"/>
      <c r="K19" s="102">
        <f>-(K17+K18)*0.6</f>
        <v>-48000000</v>
      </c>
      <c r="L19" s="102"/>
      <c r="M19" s="49" t="s">
        <v>36</v>
      </c>
      <c r="O19" s="48"/>
    </row>
    <row r="20" spans="1:18" s="7" customFormat="1" ht="42" customHeight="1">
      <c r="A20" s="77" t="s">
        <v>12</v>
      </c>
      <c r="B20" s="78"/>
      <c r="C20" s="78"/>
      <c r="D20" s="78"/>
      <c r="E20" s="78"/>
      <c r="F20" s="78"/>
      <c r="G20" s="78"/>
      <c r="H20" s="78"/>
      <c r="I20" s="78"/>
      <c r="J20" s="79"/>
      <c r="K20" s="116">
        <f>K17+K18+K19</f>
        <v>32000000</v>
      </c>
      <c r="L20" s="117"/>
      <c r="M20" s="50"/>
    </row>
    <row r="21" spans="1:18" s="7" customFormat="1" ht="78.650000000000006" customHeight="1">
      <c r="A21" s="63" t="s">
        <v>25</v>
      </c>
      <c r="B21" s="64"/>
      <c r="C21" s="65" t="s">
        <v>26</v>
      </c>
      <c r="D21" s="65"/>
      <c r="E21" s="65"/>
      <c r="F21" s="65"/>
      <c r="G21" s="8">
        <v>1</v>
      </c>
      <c r="H21" s="9" t="s">
        <v>11</v>
      </c>
      <c r="I21" s="68">
        <v>0</v>
      </c>
      <c r="J21" s="68"/>
      <c r="K21" s="102">
        <v>0</v>
      </c>
      <c r="L21" s="102"/>
      <c r="M21" s="49" t="s">
        <v>27</v>
      </c>
    </row>
    <row r="22" spans="1:18" s="7" customFormat="1" ht="42" customHeight="1">
      <c r="A22" s="77" t="s">
        <v>12</v>
      </c>
      <c r="B22" s="78"/>
      <c r="C22" s="78"/>
      <c r="D22" s="78"/>
      <c r="E22" s="78"/>
      <c r="F22" s="78"/>
      <c r="G22" s="78"/>
      <c r="H22" s="78"/>
      <c r="I22" s="78"/>
      <c r="J22" s="79"/>
      <c r="K22" s="116">
        <f>K21</f>
        <v>0</v>
      </c>
      <c r="L22" s="117"/>
      <c r="M22" s="50"/>
    </row>
    <row r="23" spans="1:18" s="7" customFormat="1" ht="65.150000000000006" customHeight="1">
      <c r="A23" s="63" t="s">
        <v>49</v>
      </c>
      <c r="B23" s="64"/>
      <c r="C23" s="65" t="s">
        <v>50</v>
      </c>
      <c r="D23" s="65"/>
      <c r="E23" s="65"/>
      <c r="F23" s="65"/>
      <c r="G23" s="8">
        <v>2</v>
      </c>
      <c r="H23" s="9" t="s">
        <v>11</v>
      </c>
      <c r="I23" s="68">
        <v>30000000</v>
      </c>
      <c r="J23" s="68"/>
      <c r="K23" s="68">
        <f>I23*G23</f>
        <v>60000000</v>
      </c>
      <c r="L23" s="68"/>
      <c r="M23" s="46" t="s">
        <v>55</v>
      </c>
    </row>
    <row r="24" spans="1:18" s="7" customFormat="1" ht="42" customHeight="1">
      <c r="A24" s="77" t="s">
        <v>12</v>
      </c>
      <c r="B24" s="78"/>
      <c r="C24" s="78"/>
      <c r="D24" s="78"/>
      <c r="E24" s="78"/>
      <c r="F24" s="78"/>
      <c r="G24" s="78"/>
      <c r="H24" s="78"/>
      <c r="I24" s="78"/>
      <c r="J24" s="79"/>
      <c r="K24" s="80">
        <f>SUM(K23:L23)</f>
        <v>60000000</v>
      </c>
      <c r="L24" s="81"/>
      <c r="M24" s="42"/>
    </row>
    <row r="25" spans="1:18" s="7" customFormat="1" ht="30" customHeight="1">
      <c r="A25" s="98" t="s">
        <v>48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100"/>
      <c r="N25" s="6"/>
    </row>
    <row r="26" spans="1:18" s="7" customFormat="1" ht="189" customHeight="1">
      <c r="A26" s="63" t="s">
        <v>46</v>
      </c>
      <c r="B26" s="64"/>
      <c r="C26" s="65" t="s">
        <v>72</v>
      </c>
      <c r="D26" s="65"/>
      <c r="E26" s="65"/>
      <c r="F26" s="65"/>
      <c r="G26" s="8">
        <v>2</v>
      </c>
      <c r="H26" s="9" t="s">
        <v>11</v>
      </c>
      <c r="I26" s="66">
        <v>0</v>
      </c>
      <c r="J26" s="67"/>
      <c r="K26" s="68">
        <v>0</v>
      </c>
      <c r="L26" s="68"/>
      <c r="M26" s="60" t="s">
        <v>62</v>
      </c>
    </row>
    <row r="27" spans="1:18" s="7" customFormat="1" ht="142.25" customHeight="1">
      <c r="A27" s="63" t="s">
        <v>47</v>
      </c>
      <c r="B27" s="64"/>
      <c r="C27" s="65" t="s">
        <v>65</v>
      </c>
      <c r="D27" s="65"/>
      <c r="E27" s="65"/>
      <c r="F27" s="65"/>
      <c r="G27" s="8">
        <v>2</v>
      </c>
      <c r="H27" s="9" t="s">
        <v>11</v>
      </c>
      <c r="I27" s="66">
        <v>0</v>
      </c>
      <c r="J27" s="67"/>
      <c r="K27" s="68">
        <v>0</v>
      </c>
      <c r="L27" s="68"/>
      <c r="M27" s="60" t="s">
        <v>63</v>
      </c>
    </row>
    <row r="28" spans="1:18" s="7" customFormat="1" ht="126.9" customHeight="1">
      <c r="A28" s="63" t="s">
        <v>31</v>
      </c>
      <c r="B28" s="64"/>
      <c r="C28" s="65" t="s">
        <v>64</v>
      </c>
      <c r="D28" s="65"/>
      <c r="E28" s="65"/>
      <c r="F28" s="65"/>
      <c r="G28" s="10">
        <v>1</v>
      </c>
      <c r="H28" s="10" t="s">
        <v>11</v>
      </c>
      <c r="I28" s="68">
        <v>0</v>
      </c>
      <c r="J28" s="68"/>
      <c r="K28" s="68">
        <f>I28*G28</f>
        <v>0</v>
      </c>
      <c r="L28" s="68"/>
      <c r="M28" s="61" t="s">
        <v>58</v>
      </c>
    </row>
    <row r="29" spans="1:18" s="7" customFormat="1" ht="129.9" customHeight="1">
      <c r="A29" s="63" t="s">
        <v>29</v>
      </c>
      <c r="B29" s="64"/>
      <c r="C29" s="65" t="s">
        <v>65</v>
      </c>
      <c r="D29" s="65"/>
      <c r="E29" s="65"/>
      <c r="F29" s="65"/>
      <c r="G29" s="8">
        <v>1</v>
      </c>
      <c r="H29" s="9" t="s">
        <v>11</v>
      </c>
      <c r="I29" s="68">
        <v>0</v>
      </c>
      <c r="J29" s="68"/>
      <c r="K29" s="68">
        <v>0</v>
      </c>
      <c r="L29" s="68"/>
      <c r="M29" s="60" t="s">
        <v>35</v>
      </c>
    </row>
    <row r="30" spans="1:18" s="7" customFormat="1" ht="132" customHeight="1">
      <c r="A30" s="69" t="s">
        <v>54</v>
      </c>
      <c r="B30" s="70"/>
      <c r="C30" s="71" t="s">
        <v>64</v>
      </c>
      <c r="D30" s="72"/>
      <c r="E30" s="72"/>
      <c r="F30" s="73"/>
      <c r="G30" s="56">
        <v>2</v>
      </c>
      <c r="H30" s="57" t="s">
        <v>11</v>
      </c>
      <c r="I30" s="74">
        <v>0</v>
      </c>
      <c r="J30" s="75"/>
      <c r="K30" s="76">
        <v>0</v>
      </c>
      <c r="L30" s="76"/>
      <c r="M30" s="62" t="s">
        <v>61</v>
      </c>
    </row>
    <row r="31" spans="1:18" s="7" customFormat="1" ht="42" customHeight="1">
      <c r="A31" s="133" t="s">
        <v>12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5">
        <f>SUM(K26:K29)</f>
        <v>0</v>
      </c>
      <c r="L31" s="135"/>
      <c r="M31" s="42"/>
      <c r="N31" s="6"/>
    </row>
    <row r="32" spans="1:18" s="7" customFormat="1" ht="30" customHeight="1">
      <c r="A32" s="98" t="s">
        <v>22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100"/>
      <c r="N32" s="6"/>
    </row>
    <row r="33" spans="1:14" s="7" customFormat="1" ht="70.150000000000006" customHeight="1">
      <c r="A33" s="63" t="s">
        <v>23</v>
      </c>
      <c r="B33" s="64"/>
      <c r="C33" s="65" t="s">
        <v>32</v>
      </c>
      <c r="D33" s="65"/>
      <c r="E33" s="65"/>
      <c r="F33" s="65"/>
      <c r="G33" s="8">
        <f>SUM(G26:G30)</f>
        <v>8</v>
      </c>
      <c r="H33" s="9" t="s">
        <v>11</v>
      </c>
      <c r="I33" s="68">
        <v>0</v>
      </c>
      <c r="J33" s="68"/>
      <c r="K33" s="68">
        <v>0</v>
      </c>
      <c r="L33" s="68"/>
      <c r="M33" s="46" t="s">
        <v>30</v>
      </c>
    </row>
    <row r="34" spans="1:14" s="7" customFormat="1" ht="70.150000000000006" customHeight="1">
      <c r="A34" s="63" t="s">
        <v>24</v>
      </c>
      <c r="B34" s="64"/>
      <c r="C34" s="65" t="s">
        <v>33</v>
      </c>
      <c r="D34" s="65"/>
      <c r="E34" s="65"/>
      <c r="F34" s="65"/>
      <c r="G34" s="8">
        <f>G33</f>
        <v>8</v>
      </c>
      <c r="H34" s="9" t="s">
        <v>11</v>
      </c>
      <c r="I34" s="68">
        <v>0</v>
      </c>
      <c r="J34" s="68"/>
      <c r="K34" s="68">
        <v>0</v>
      </c>
      <c r="L34" s="68"/>
      <c r="M34" s="46" t="s">
        <v>30</v>
      </c>
    </row>
    <row r="35" spans="1:14" s="7" customFormat="1" ht="42" customHeight="1">
      <c r="A35" s="133" t="s">
        <v>12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5">
        <f>SUM(K33:K34)</f>
        <v>0</v>
      </c>
      <c r="L35" s="135"/>
      <c r="M35" s="42"/>
      <c r="N35" s="6"/>
    </row>
    <row r="36" spans="1:14" s="7" customFormat="1" ht="47" customHeight="1">
      <c r="A36" s="98" t="s">
        <v>51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100"/>
    </row>
    <row r="37" spans="1:14" s="7" customFormat="1" ht="110.4" customHeight="1">
      <c r="A37" s="69" t="s">
        <v>13</v>
      </c>
      <c r="B37" s="70"/>
      <c r="C37" s="131" t="s">
        <v>44</v>
      </c>
      <c r="D37" s="131"/>
      <c r="E37" s="131"/>
      <c r="F37" s="131"/>
      <c r="G37" s="12">
        <v>100</v>
      </c>
      <c r="H37" s="12" t="s">
        <v>14</v>
      </c>
      <c r="I37" s="132">
        <v>160000</v>
      </c>
      <c r="J37" s="132"/>
      <c r="K37" s="76">
        <f>I37*G37</f>
        <v>16000000</v>
      </c>
      <c r="L37" s="76"/>
      <c r="M37" s="51" t="s">
        <v>66</v>
      </c>
    </row>
    <row r="38" spans="1:14" s="7" customFormat="1" ht="17.5">
      <c r="A38" s="133" t="s">
        <v>12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5">
        <f>SUM(K37:L37)</f>
        <v>16000000</v>
      </c>
      <c r="L38" s="135"/>
      <c r="M38" s="42"/>
      <c r="N38" s="6"/>
    </row>
    <row r="39" spans="1:14" s="7" customFormat="1" ht="35" customHeight="1">
      <c r="A39" s="98" t="s">
        <v>21</v>
      </c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100"/>
    </row>
    <row r="40" spans="1:14" s="7" customFormat="1" ht="99" customHeight="1">
      <c r="A40" s="63" t="s">
        <v>45</v>
      </c>
      <c r="B40" s="64"/>
      <c r="C40" s="65" t="s">
        <v>53</v>
      </c>
      <c r="D40" s="65"/>
      <c r="E40" s="65"/>
      <c r="F40" s="65"/>
      <c r="G40" s="10">
        <v>1</v>
      </c>
      <c r="H40" s="10" t="s">
        <v>18</v>
      </c>
      <c r="I40" s="118">
        <v>9000000</v>
      </c>
      <c r="J40" s="118"/>
      <c r="K40" s="68">
        <f>G40*I40</f>
        <v>9000000</v>
      </c>
      <c r="L40" s="68"/>
      <c r="M40" s="43"/>
    </row>
    <row r="41" spans="1:14" s="7" customFormat="1" ht="103.25" customHeight="1">
      <c r="A41" s="129"/>
      <c r="B41" s="130"/>
      <c r="C41" s="65" t="s">
        <v>52</v>
      </c>
      <c r="D41" s="65"/>
      <c r="E41" s="65"/>
      <c r="F41" s="65"/>
      <c r="G41" s="10">
        <v>1</v>
      </c>
      <c r="H41" s="10" t="s">
        <v>18</v>
      </c>
      <c r="I41" s="118">
        <v>7000000</v>
      </c>
      <c r="J41" s="118"/>
      <c r="K41" s="68">
        <f>G41*I41</f>
        <v>7000000</v>
      </c>
      <c r="L41" s="68"/>
      <c r="M41" s="43"/>
    </row>
    <row r="42" spans="1:14" s="7" customFormat="1" ht="42" customHeight="1">
      <c r="A42" s="77" t="s">
        <v>12</v>
      </c>
      <c r="B42" s="78"/>
      <c r="C42" s="78"/>
      <c r="D42" s="78"/>
      <c r="E42" s="78"/>
      <c r="F42" s="78"/>
      <c r="G42" s="78"/>
      <c r="H42" s="78"/>
      <c r="I42" s="78"/>
      <c r="J42" s="79"/>
      <c r="K42" s="80">
        <f>K40+K41</f>
        <v>16000000</v>
      </c>
      <c r="L42" s="81"/>
      <c r="M42" s="42"/>
      <c r="N42" s="6"/>
    </row>
    <row r="43" spans="1:14" s="6" customFormat="1" ht="35.15" customHeight="1">
      <c r="A43" s="119" t="s">
        <v>38</v>
      </c>
      <c r="B43" s="120"/>
      <c r="C43" s="120"/>
      <c r="D43" s="120"/>
      <c r="E43" s="120"/>
      <c r="F43" s="120"/>
      <c r="G43" s="123" t="s">
        <v>15</v>
      </c>
      <c r="H43" s="123"/>
      <c r="I43" s="123"/>
      <c r="J43" s="123"/>
      <c r="K43" s="124">
        <f>K16+K20+K22+K24+K31+K35+K38+K42</f>
        <v>164000000</v>
      </c>
      <c r="L43" s="124"/>
      <c r="M43" s="125"/>
    </row>
    <row r="44" spans="1:14" s="6" customFormat="1" ht="35.15" customHeight="1">
      <c r="A44" s="119"/>
      <c r="B44" s="120"/>
      <c r="C44" s="120"/>
      <c r="D44" s="120"/>
      <c r="E44" s="120"/>
      <c r="F44" s="120"/>
      <c r="G44" s="123" t="s">
        <v>16</v>
      </c>
      <c r="H44" s="123"/>
      <c r="I44" s="123"/>
      <c r="J44" s="123"/>
      <c r="K44" s="124">
        <f>K43*0.1</f>
        <v>16400000</v>
      </c>
      <c r="L44" s="124"/>
      <c r="M44" s="125"/>
    </row>
    <row r="45" spans="1:14" s="3" customFormat="1" ht="35.15" customHeight="1">
      <c r="A45" s="121"/>
      <c r="B45" s="122"/>
      <c r="C45" s="122"/>
      <c r="D45" s="122"/>
      <c r="E45" s="122"/>
      <c r="F45" s="122"/>
      <c r="G45" s="126" t="s">
        <v>17</v>
      </c>
      <c r="H45" s="126"/>
      <c r="I45" s="126"/>
      <c r="J45" s="126"/>
      <c r="K45" s="127">
        <f>SUM(K43:M44)</f>
        <v>180400000</v>
      </c>
      <c r="L45" s="127"/>
      <c r="M45" s="128"/>
    </row>
    <row r="46" spans="1:14" s="4" customFormat="1" ht="92.15" customHeight="1">
      <c r="A46" s="1"/>
      <c r="B46" s="1"/>
      <c r="C46" s="1"/>
      <c r="D46" s="1"/>
      <c r="E46" s="1"/>
      <c r="F46" s="1"/>
      <c r="G46" s="2"/>
      <c r="H46" s="2"/>
      <c r="I46" s="1"/>
      <c r="J46" s="1"/>
      <c r="K46" s="1"/>
      <c r="L46" s="1"/>
      <c r="M46" s="1"/>
    </row>
    <row r="47" spans="1:14" s="4" customFormat="1" ht="92.15" customHeight="1">
      <c r="A47" s="1"/>
      <c r="B47" s="1"/>
      <c r="C47" s="1"/>
      <c r="D47" s="1"/>
      <c r="E47" s="1"/>
      <c r="F47" s="1"/>
      <c r="G47" s="2"/>
      <c r="H47" s="2"/>
      <c r="I47" s="1"/>
      <c r="J47" s="1"/>
      <c r="K47" s="1"/>
      <c r="L47" s="1"/>
      <c r="M47" s="1"/>
    </row>
    <row r="48" spans="1:14" s="3" customFormat="1" ht="30" customHeight="1">
      <c r="A48" s="1"/>
      <c r="B48" s="1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</row>
    <row r="49" spans="1:13" s="3" customFormat="1" ht="33" customHeight="1">
      <c r="A49" s="1"/>
      <c r="B49" s="1"/>
      <c r="C49" s="1"/>
      <c r="D49" s="1"/>
      <c r="E49" s="1"/>
      <c r="F49" s="1"/>
      <c r="G49" s="2"/>
      <c r="H49" s="2"/>
      <c r="I49" s="1"/>
      <c r="J49" s="1"/>
      <c r="K49" s="1"/>
      <c r="L49" s="1"/>
      <c r="M49" s="1"/>
    </row>
    <row r="50" spans="1:13" s="3" customFormat="1" ht="33" customHeight="1">
      <c r="A50" s="1"/>
      <c r="B50" s="1"/>
      <c r="C50" s="1"/>
      <c r="D50" s="1"/>
      <c r="E50" s="1"/>
      <c r="F50" s="1"/>
      <c r="G50" s="2"/>
      <c r="H50" s="2"/>
      <c r="I50" s="1"/>
      <c r="J50" s="1"/>
      <c r="K50" s="1"/>
      <c r="L50" s="1"/>
      <c r="M50" s="1"/>
    </row>
    <row r="51" spans="1:13" s="3" customFormat="1" ht="47.15" customHeight="1">
      <c r="A51" s="1"/>
      <c r="B51" s="1"/>
      <c r="C51" s="1"/>
      <c r="D51" s="1"/>
      <c r="E51" s="1"/>
      <c r="F51" s="1"/>
      <c r="G51" s="2"/>
      <c r="H51" s="2"/>
      <c r="I51" s="1"/>
      <c r="J51" s="1"/>
      <c r="K51" s="1"/>
      <c r="L51" s="1"/>
      <c r="M51" s="1"/>
    </row>
  </sheetData>
  <mergeCells count="114">
    <mergeCell ref="A35:J35"/>
    <mergeCell ref="K35:L35"/>
    <mergeCell ref="A34:B34"/>
    <mergeCell ref="C34:F34"/>
    <mergeCell ref="I34:J34"/>
    <mergeCell ref="K34:L34"/>
    <mergeCell ref="A28:B28"/>
    <mergeCell ref="A25:M25"/>
    <mergeCell ref="A38:J38"/>
    <mergeCell ref="K38:L38"/>
    <mergeCell ref="A29:B29"/>
    <mergeCell ref="C29:F29"/>
    <mergeCell ref="I29:J29"/>
    <mergeCell ref="K29:L29"/>
    <mergeCell ref="C28:F28"/>
    <mergeCell ref="I28:J28"/>
    <mergeCell ref="K28:L28"/>
    <mergeCell ref="A27:B27"/>
    <mergeCell ref="C27:F27"/>
    <mergeCell ref="C33:F33"/>
    <mergeCell ref="I33:J33"/>
    <mergeCell ref="K33:L33"/>
    <mergeCell ref="A31:J31"/>
    <mergeCell ref="K31:L31"/>
    <mergeCell ref="A39:M39"/>
    <mergeCell ref="C40:F40"/>
    <mergeCell ref="I40:J40"/>
    <mergeCell ref="K40:L40"/>
    <mergeCell ref="A36:M36"/>
    <mergeCell ref="A37:B37"/>
    <mergeCell ref="C37:F37"/>
    <mergeCell ref="I37:J37"/>
    <mergeCell ref="K37:L37"/>
    <mergeCell ref="C41:F41"/>
    <mergeCell ref="I41:J41"/>
    <mergeCell ref="K41:L41"/>
    <mergeCell ref="A43:F45"/>
    <mergeCell ref="G43:J43"/>
    <mergeCell ref="K43:M43"/>
    <mergeCell ref="G44:J44"/>
    <mergeCell ref="K44:M44"/>
    <mergeCell ref="G45:J45"/>
    <mergeCell ref="K45:M45"/>
    <mergeCell ref="A42:J42"/>
    <mergeCell ref="K42:L42"/>
    <mergeCell ref="A40:B41"/>
    <mergeCell ref="A32:M32"/>
    <mergeCell ref="A33:B33"/>
    <mergeCell ref="K7:M7"/>
    <mergeCell ref="K8:M8"/>
    <mergeCell ref="A14:B14"/>
    <mergeCell ref="C14:F14"/>
    <mergeCell ref="I14:J14"/>
    <mergeCell ref="K14:L14"/>
    <mergeCell ref="A22:J22"/>
    <mergeCell ref="K22:L22"/>
    <mergeCell ref="A20:J20"/>
    <mergeCell ref="K20:L20"/>
    <mergeCell ref="A21:B21"/>
    <mergeCell ref="C21:F21"/>
    <mergeCell ref="I21:J21"/>
    <mergeCell ref="K21:L21"/>
    <mergeCell ref="A17:B17"/>
    <mergeCell ref="C17:F17"/>
    <mergeCell ref="I17:J17"/>
    <mergeCell ref="K17:L17"/>
    <mergeCell ref="K16:L16"/>
    <mergeCell ref="C19:F19"/>
    <mergeCell ref="I19:J19"/>
    <mergeCell ref="K19:L19"/>
    <mergeCell ref="A2:M2"/>
    <mergeCell ref="H4:H6"/>
    <mergeCell ref="I4:J4"/>
    <mergeCell ref="K4:M4"/>
    <mergeCell ref="I5:J5"/>
    <mergeCell ref="L5:M5"/>
    <mergeCell ref="C6:E6"/>
    <mergeCell ref="I6:J6"/>
    <mergeCell ref="L6:M6"/>
    <mergeCell ref="A18:B18"/>
    <mergeCell ref="C18:F18"/>
    <mergeCell ref="I18:J18"/>
    <mergeCell ref="K18:L18"/>
    <mergeCell ref="A9:F9"/>
    <mergeCell ref="K9:M9"/>
    <mergeCell ref="A11:B11"/>
    <mergeCell ref="C11:F11"/>
    <mergeCell ref="I11:J11"/>
    <mergeCell ref="K11:L11"/>
    <mergeCell ref="A12:M12"/>
    <mergeCell ref="A13:B13"/>
    <mergeCell ref="C13:F13"/>
    <mergeCell ref="I13:J13"/>
    <mergeCell ref="K13:L13"/>
    <mergeCell ref="C15:F15"/>
    <mergeCell ref="I15:J15"/>
    <mergeCell ref="K15:L15"/>
    <mergeCell ref="A16:J16"/>
    <mergeCell ref="A26:B26"/>
    <mergeCell ref="C26:F26"/>
    <mergeCell ref="I26:J26"/>
    <mergeCell ref="K26:L26"/>
    <mergeCell ref="A30:B30"/>
    <mergeCell ref="C30:F30"/>
    <mergeCell ref="I30:J30"/>
    <mergeCell ref="K30:L30"/>
    <mergeCell ref="A23:B23"/>
    <mergeCell ref="C23:F23"/>
    <mergeCell ref="I23:J23"/>
    <mergeCell ref="K23:L23"/>
    <mergeCell ref="I27:J27"/>
    <mergeCell ref="K27:L27"/>
    <mergeCell ref="A24:J24"/>
    <mergeCell ref="K24:L24"/>
  </mergeCells>
  <phoneticPr fontId="2" type="noConversion"/>
  <hyperlinks>
    <hyperlink ref="K8" r:id="rId1" xr:uid="{6C722413-FA23-43DD-8EC6-45AF9CB29F3B}"/>
  </hyperlinks>
  <printOptions horizontalCentered="1"/>
  <pageMargins left="0.25" right="0.25" top="0.75" bottom="0.75" header="0.3" footer="0.3"/>
  <pageSetup paperSize="9" scale="42" fitToHeight="0" orientation="portrait" r:id="rId2"/>
  <headerFooter alignWithMargins="0"/>
  <rowBreaks count="1" manualBreakCount="1">
    <brk id="24" max="12" man="1"/>
  </rowBreak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6D74A25FBBA384E8C45D570C2E2E17E" ma:contentTypeVersion="2" ma:contentTypeDescription="새 문서를 만듭니다." ma:contentTypeScope="" ma:versionID="d6336344758c7a14f297724d3e9ea3d6">
  <xsd:schema xmlns:xsd="http://www.w3.org/2001/XMLSchema" xmlns:xs="http://www.w3.org/2001/XMLSchema" xmlns:p="http://schemas.microsoft.com/office/2006/metadata/properties" xmlns:ns3="c2d602a0-b991-44c2-bade-ecb9657c827c" targetNamespace="http://schemas.microsoft.com/office/2006/metadata/properties" ma:root="true" ma:fieldsID="ee5b3ea02ad6ba1ad540944ee868ca27" ns3:_="">
    <xsd:import namespace="c2d602a0-b991-44c2-bade-ecb9657c82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d602a0-b991-44c2-bade-ecb9657c8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C10C4-1A1F-4842-B63D-C20706DC53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2B8752-2F26-428A-8E39-952284F5F3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d602a0-b991-44c2-bade-ecb9657c82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6494D-F2CF-4B8C-A40D-E6596426CD5D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c2d602a0-b991-44c2-bade-ecb9657c827c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KB국민은행(AWS)</vt:lpstr>
      <vt:lpstr>'KB국민은행(AWS)'!Print_Area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edward lee</cp:lastModifiedBy>
  <cp:revision/>
  <cp:lastPrinted>2026-06-09T04:54:20Z</cp:lastPrinted>
  <dcterms:created xsi:type="dcterms:W3CDTF">2019-02-18T05:45:32Z</dcterms:created>
  <dcterms:modified xsi:type="dcterms:W3CDTF">2026-06-09T13:06:33Z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0x01010066D74A25FBBA384E8C45D570C2E2E17E</vt:lpwstr>
  </property>
</Properties>
</file>