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0" documentId="11_86B728809A31FA434BFDD0BA76FF8E71D4D6030B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AWS 인스턴스 상세" sheetId="1" r:id="rId1"/>
    <sheet name="GPU 스펙 비교" sheetId="2" r:id="rId2"/>
    <sheet name="추론 성능 비교" sheetId="3" r:id="rId3"/>
    <sheet name="학습 성능 비교" sheetId="4" r:id="rId4"/>
    <sheet name="클라우드 가용성" sheetId="5" r:id="rId5"/>
  </sheets>
  <definedNames>
    <definedName name="_xlnm._FilterDatabase" localSheetId="0" hidden="1">'AWS 인스턴스 상세'!$A$2:$T$43</definedName>
    <definedName name="_xlnm._FilterDatabase" localSheetId="1" hidden="1">'GPU 스펙 비교'!$A$1:$Q$20</definedName>
  </definedNames>
  <calcPr calcId="0" fullCalcOnLoad="1" iterateDelta="1E-4"/>
  <extLst>
    <ext xmlns:x15="http://schemas.microsoft.com/office/spreadsheetml/2010/11/main" uri="{140A7094-0E35-4892-8432-C4D2E57EDEB5}">
      <x15:workbookPr chartTrackingRefBase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3" l="1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<sst xmlns="http://schemas.openxmlformats.org/spreadsheetml/2006/main" count="854" uniqueCount="362">
  <si>
    <t>인스턴스 정보</t>
  </si>
  <si>
    <r>
      <rPr>
        <b/>
        <sz val="10"/>
        <color rgb="FFFFFFFF"/>
        <rFont val="Arial"/>
        <charset val="1"/>
      </rPr>
      <t xml:space="preserve">GPU </t>
    </r>
    <r>
      <rPr>
        <b/>
        <sz val="10"/>
        <color rgb="FFFFFFFF"/>
        <rFont val="Noto Sans CJK SC"/>
        <family val="2"/>
      </rPr>
      <t xml:space="preserve">스펙 </t>
    </r>
    <r>
      <rPr>
        <b/>
        <sz val="10"/>
        <color rgb="FFFFFFFF"/>
        <rFont val="Arial"/>
        <charset val="1"/>
      </rPr>
      <t>(per GPU)</t>
    </r>
  </si>
  <si>
    <t>인스턴스 구성</t>
  </si>
  <si>
    <t>기타</t>
  </si>
  <si>
    <t>분류</t>
  </si>
  <si>
    <t>패밀리</t>
  </si>
  <si>
    <t>인스턴스 타입</t>
  </si>
  <si>
    <r>
      <rPr>
        <b/>
        <sz val="10"/>
        <color rgb="FFFFFFFF"/>
        <rFont val="Arial"/>
        <charset val="1"/>
      </rPr>
      <t xml:space="preserve">GPU </t>
    </r>
    <r>
      <rPr>
        <b/>
        <sz val="10"/>
        <color rgb="FFFFFFFF"/>
        <rFont val="Noto Sans CJK SC"/>
        <family val="2"/>
      </rPr>
      <t>모델</t>
    </r>
  </si>
  <si>
    <t>아키텍처</t>
  </si>
  <si>
    <t>CUDA
Cores</t>
  </si>
  <si>
    <t>Tensor
Cores</t>
  </si>
  <si>
    <t>VRAM
(GB)</t>
  </si>
  <si>
    <t>메모리
타입</t>
  </si>
  <si>
    <r>
      <rPr>
        <b/>
        <sz val="10"/>
        <color rgb="FFFFFFFF"/>
        <rFont val="Noto Sans CJK SC"/>
        <family val="2"/>
      </rPr>
      <t xml:space="preserve">메모리 대역폭
</t>
    </r>
    <r>
      <rPr>
        <b/>
        <sz val="10"/>
        <color rgb="FFFFFFFF"/>
        <rFont val="Arial"/>
        <charset val="1"/>
      </rPr>
      <t>(GB/s)</t>
    </r>
  </si>
  <si>
    <t>FP16 Tensor
(TFLOPS)
[Dense]</t>
  </si>
  <si>
    <r>
      <rPr>
        <b/>
        <sz val="10"/>
        <color rgb="FFFFFFFF"/>
        <rFont val="Arial"/>
        <charset val="1"/>
      </rPr>
      <t xml:space="preserve">GPU
</t>
    </r>
    <r>
      <rPr>
        <b/>
        <sz val="10"/>
        <color rgb="FFFFFFFF"/>
        <rFont val="Noto Sans CJK SC"/>
        <family val="2"/>
      </rPr>
      <t>개수</t>
    </r>
  </si>
  <si>
    <r>
      <rPr>
        <b/>
        <sz val="10"/>
        <color rgb="FFFFFFFF"/>
        <rFont val="Arial"/>
        <charset val="1"/>
      </rPr>
      <t xml:space="preserve">GPU </t>
    </r>
    <r>
      <rPr>
        <b/>
        <sz val="10"/>
        <color rgb="FFFFFFFF"/>
        <rFont val="Noto Sans CJK SC"/>
        <family val="2"/>
      </rPr>
      <t xml:space="preserve">메모리
총합 </t>
    </r>
    <r>
      <rPr>
        <b/>
        <sz val="10"/>
        <color rgb="FFFFFFFF"/>
        <rFont val="Arial"/>
        <charset val="1"/>
      </rPr>
      <t>(GB)</t>
    </r>
  </si>
  <si>
    <t>vCPU</t>
  </si>
  <si>
    <t>RAM
(GiB)</t>
  </si>
  <si>
    <t>CPU</t>
  </si>
  <si>
    <r>
      <rPr>
        <b/>
        <sz val="10"/>
        <color rgb="FFFFFFFF"/>
        <rFont val="Noto Sans CJK SC"/>
        <family val="2"/>
      </rPr>
      <t xml:space="preserve">네트워크
</t>
    </r>
    <r>
      <rPr>
        <b/>
        <sz val="10"/>
        <color rgb="FFFFFFFF"/>
        <rFont val="Arial"/>
        <charset val="1"/>
      </rPr>
      <t>(Gbps)</t>
    </r>
  </si>
  <si>
    <r>
      <rPr>
        <b/>
        <sz val="10"/>
        <color rgb="FFFFFFFF"/>
        <rFont val="Arial"/>
        <charset val="1"/>
      </rPr>
      <t xml:space="preserve">NVMe
</t>
    </r>
    <r>
      <rPr>
        <b/>
        <sz val="10"/>
        <color rgb="FFFFFFFF"/>
        <rFont val="Noto Sans CJK SC"/>
        <family val="2"/>
      </rPr>
      <t>스토리지</t>
    </r>
  </si>
  <si>
    <t>주요 용도</t>
  </si>
  <si>
    <t>서울
리전</t>
  </si>
  <si>
    <r>
      <rPr>
        <b/>
        <sz val="10"/>
        <rFont val="Arial"/>
        <charset val="1"/>
      </rPr>
      <t xml:space="preserve">G </t>
    </r>
    <r>
      <rPr>
        <b/>
        <sz val="10"/>
        <rFont val="Noto Sans CJK SC"/>
        <family val="2"/>
      </rPr>
      <t xml:space="preserve">패밀리
</t>
    </r>
    <r>
      <rPr>
        <b/>
        <sz val="10"/>
        <rFont val="Arial"/>
        <charset val="1"/>
      </rPr>
      <t>(</t>
    </r>
    <r>
      <rPr>
        <b/>
        <sz val="10"/>
        <rFont val="Noto Sans CJK SC"/>
        <family val="2"/>
      </rPr>
      <t>추론</t>
    </r>
    <r>
      <rPr>
        <b/>
        <sz val="10"/>
        <rFont val="Arial"/>
        <charset val="1"/>
      </rPr>
      <t>)</t>
    </r>
  </si>
  <si>
    <t>G4dn</t>
  </si>
  <si>
    <t>g4dn.xlarge</t>
  </si>
  <si>
    <t>T4</t>
  </si>
  <si>
    <t>Turing</t>
  </si>
  <si>
    <t>GDDR6</t>
  </si>
  <si>
    <t>Intel Xeon P-8259L</t>
  </si>
  <si>
    <r>
      <rPr>
        <sz val="10"/>
        <rFont val="Noto Sans CJK SC"/>
        <family val="2"/>
      </rPr>
      <t xml:space="preserve">최대 </t>
    </r>
    <r>
      <rPr>
        <sz val="10"/>
        <rFont val="Arial"/>
        <charset val="1"/>
      </rPr>
      <t>25</t>
    </r>
  </si>
  <si>
    <t>125 GB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</si>
  <si>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머신러닝</t>
    </r>
  </si>
  <si>
    <t>O</t>
  </si>
  <si>
    <t>g4dn.2xlarge</t>
  </si>
  <si>
    <t>225 GB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</si>
  <si>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>, NLP</t>
    </r>
  </si>
  <si>
    <t>g4dn.4xlarge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</si>
  <si>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비디오</t>
    </r>
  </si>
  <si>
    <t>g4dn.8xlarge</t>
  </si>
  <si>
    <t>50</t>
  </si>
  <si>
    <t>900 GB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</si>
  <si>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그래픽</t>
    </r>
  </si>
  <si>
    <t>g4dn.12xlarge</t>
  </si>
  <si>
    <r>
      <rPr>
        <sz val="10"/>
        <rFont val="Noto Sans CJK SC"/>
        <family val="2"/>
      </rPr>
      <t>멀티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추론</t>
    </r>
  </si>
  <si>
    <t>g4dn.16xlarge</t>
  </si>
  <si>
    <r>
      <rPr>
        <sz val="10"/>
        <rFont val="Noto Sans CJK SC"/>
        <family val="2"/>
      </rPr>
      <t>단일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고</t>
    </r>
    <r>
      <rPr>
        <sz val="10"/>
        <rFont val="Arial"/>
        <charset val="1"/>
      </rPr>
      <t>CPU</t>
    </r>
  </si>
  <si>
    <t>g4dn.metal</t>
  </si>
  <si>
    <t>100</t>
  </si>
  <si>
    <t>1.8 TB</t>
  </si>
  <si>
    <r>
      <rPr>
        <sz val="10"/>
        <rFont val="Noto Sans CJK SC"/>
        <family val="2"/>
      </rPr>
      <t xml:space="preserve">최대 구성 </t>
    </r>
    <r>
      <rPr>
        <sz val="10"/>
        <rFont val="Arial"/>
        <charset val="1"/>
      </rPr>
      <t>(Bare)</t>
    </r>
  </si>
  <si>
    <t>G5</t>
  </si>
  <si>
    <t>g5.xlarge</t>
  </si>
  <si>
    <t>A10G</t>
  </si>
  <si>
    <t>Ampere</t>
  </si>
  <si>
    <t>AMD EPYC 7R32</t>
  </si>
  <si>
    <t>250 GB</t>
  </si>
  <si>
    <t>g5.2xlarge</t>
  </si>
  <si>
    <t>450 GB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</si>
  <si>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컴퓨터 비전</t>
    </r>
  </si>
  <si>
    <t>g5.4xlarge</t>
  </si>
  <si>
    <t>600 GB</t>
  </si>
  <si>
    <t>g5.8xlarge</t>
  </si>
  <si>
    <t>25</t>
  </si>
  <si>
    <t>g5.12xlarge</t>
  </si>
  <si>
    <t>40</t>
  </si>
  <si>
    <t>3.8 TB</t>
  </si>
  <si>
    <t>g5.16xlarge</t>
  </si>
  <si>
    <t>1.9 TB</t>
  </si>
  <si>
    <t>g5.24xlarge</t>
  </si>
  <si>
    <t>g5.48xlarge</t>
  </si>
  <si>
    <t>7.6 TB</t>
  </si>
  <si>
    <t>최대 구성</t>
  </si>
  <si>
    <t>G6</t>
  </si>
  <si>
    <t>g6.xlarge</t>
  </si>
  <si>
    <t>L4</t>
  </si>
  <si>
    <t>Ada Lovelace</t>
  </si>
  <si>
    <t>AMD EPYC 7R13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</si>
  <si>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렌더링</t>
    </r>
  </si>
  <si>
    <t>g6.2xlarge</t>
  </si>
  <si>
    <t>g6.4xlarge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</si>
  <si>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AI </t>
    </r>
    <r>
      <rPr>
        <sz val="10"/>
        <rFont val="Noto Sans CJK SC"/>
        <family val="2"/>
      </rPr>
      <t>비디오</t>
    </r>
  </si>
  <si>
    <t>g6.12xlarge</t>
  </si>
  <si>
    <t>g6.48xlarge</t>
  </si>
  <si>
    <t>G6e</t>
  </si>
  <si>
    <t>g6e.xlarge</t>
  </si>
  <si>
    <t>L40S</t>
  </si>
  <si>
    <r>
      <rPr>
        <sz val="10"/>
        <rFont val="Noto Sans CJK SC"/>
        <family val="2"/>
      </rPr>
      <t>고성능 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생성형 </t>
    </r>
    <r>
      <rPr>
        <sz val="10"/>
        <rFont val="Arial"/>
        <charset val="1"/>
      </rPr>
      <t>AI</t>
    </r>
  </si>
  <si>
    <t>확인</t>
  </si>
  <si>
    <t>g6e.2xlarge</t>
  </si>
  <si>
    <r>
      <rPr>
        <sz val="10"/>
        <rFont val="Arial"/>
        <charset val="1"/>
      </rPr>
      <t xml:space="preserve">LLM </t>
    </r>
    <r>
      <rPr>
        <sz val="10"/>
        <rFont val="Noto Sans CJK SC"/>
        <family val="2"/>
      </rPr>
      <t xml:space="preserve">추론 </t>
    </r>
    <r>
      <rPr>
        <sz val="10"/>
        <rFont val="Arial"/>
        <charset val="1"/>
      </rPr>
      <t>(13B</t>
    </r>
    <r>
      <rPr>
        <sz val="10"/>
        <rFont val="Noto Sans CJK SC"/>
        <family val="2"/>
      </rPr>
      <t>이하</t>
    </r>
    <r>
      <rPr>
        <sz val="10"/>
        <rFont val="Arial"/>
        <charset val="1"/>
      </rPr>
      <t>)</t>
    </r>
  </si>
  <si>
    <t>g6e.4xlarge</t>
  </si>
  <si>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파인튜닝</t>
    </r>
  </si>
  <si>
    <t>g6e.12xlarge</t>
  </si>
  <si>
    <r>
      <rPr>
        <sz val="10"/>
        <rFont val="Noto Sans CJK SC"/>
        <family val="2"/>
      </rPr>
      <t>멀티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파인튜닝</t>
    </r>
  </si>
  <si>
    <t>g6e.48xlarge</t>
  </si>
  <si>
    <t>400</t>
  </si>
  <si>
    <r>
      <rPr>
        <sz val="10"/>
        <rFont val="Noto Sans CJK SC"/>
        <family val="2"/>
      </rPr>
      <t xml:space="preserve">최대 구성 </t>
    </r>
    <r>
      <rPr>
        <sz val="10"/>
        <rFont val="Arial"/>
        <charset val="1"/>
      </rPr>
      <t>(EFA)</t>
    </r>
  </si>
  <si>
    <t>G7e ★</t>
  </si>
  <si>
    <t>g7e.2xlarge</t>
  </si>
  <si>
    <t>RTX PRO 6000</t>
  </si>
  <si>
    <t>Blackwell</t>
  </si>
  <si>
    <t>GDDR7</t>
  </si>
  <si>
    <t>Intel Xeon Emerald Rapids</t>
  </si>
  <si>
    <t>X</t>
  </si>
  <si>
    <t>g7e.4xlarge</t>
  </si>
  <si>
    <t>950 GB</t>
  </si>
  <si>
    <r>
      <rPr>
        <sz val="10"/>
        <rFont val="Arial"/>
        <charset val="1"/>
      </rPr>
      <t xml:space="preserve">LLM </t>
    </r>
    <r>
      <rPr>
        <sz val="10"/>
        <rFont val="Noto Sans CJK SC"/>
        <family val="2"/>
      </rPr>
      <t xml:space="preserve">추론 </t>
    </r>
    <r>
      <rPr>
        <sz val="10"/>
        <rFont val="Arial"/>
        <charset val="1"/>
      </rPr>
      <t>(70B FP8)</t>
    </r>
  </si>
  <si>
    <t>g7e.8xlarge</t>
  </si>
  <si>
    <r>
      <rPr>
        <sz val="10"/>
        <rFont val="Arial"/>
        <charset val="1"/>
      </rPr>
      <t xml:space="preserve">LLM </t>
    </r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공간컴퓨팅</t>
    </r>
  </si>
  <si>
    <t>g7e.12xlarge</t>
  </si>
  <si>
    <r>
      <rPr>
        <sz val="10"/>
        <rFont val="Noto Sans CJK SC"/>
        <family val="2"/>
      </rPr>
      <t>멀티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추론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파인튜닝</t>
    </r>
  </si>
  <si>
    <t>g7e.24xlarge</t>
  </si>
  <si>
    <r>
      <rPr>
        <sz val="10"/>
        <rFont val="Noto Sans CJK SC"/>
        <family val="2"/>
      </rPr>
      <t>멀티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학습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추론</t>
    </r>
  </si>
  <si>
    <t>g7e.48xlarge</t>
  </si>
  <si>
    <t>1600</t>
  </si>
  <si>
    <t>15.2 TB</t>
  </si>
  <si>
    <r>
      <rPr>
        <sz val="10"/>
        <rFont val="Noto Sans CJK SC"/>
        <family val="2"/>
      </rPr>
      <t xml:space="preserve">최대 구성 </t>
    </r>
    <r>
      <rPr>
        <sz val="10"/>
        <rFont val="Arial"/>
        <charset val="1"/>
      </rPr>
      <t>(EFA+RDMA)</t>
    </r>
  </si>
  <si>
    <r>
      <rPr>
        <b/>
        <sz val="10"/>
        <rFont val="Arial"/>
        <charset val="1"/>
      </rPr>
      <t xml:space="preserve">P </t>
    </r>
    <r>
      <rPr>
        <b/>
        <sz val="10"/>
        <rFont val="Noto Sans CJK SC"/>
        <family val="2"/>
      </rPr>
      <t xml:space="preserve">패밀리
</t>
    </r>
    <r>
      <rPr>
        <b/>
        <sz val="10"/>
        <rFont val="Arial"/>
        <charset val="1"/>
      </rPr>
      <t>(</t>
    </r>
    <r>
      <rPr>
        <b/>
        <sz val="10"/>
        <rFont val="Noto Sans CJK SC"/>
        <family val="2"/>
      </rPr>
      <t>학습</t>
    </r>
    <r>
      <rPr>
        <b/>
        <sz val="10"/>
        <rFont val="Arial"/>
        <charset val="1"/>
      </rPr>
      <t>)</t>
    </r>
  </si>
  <si>
    <t>P4d</t>
  </si>
  <si>
    <t>p4d.24xlarge</t>
  </si>
  <si>
    <t>A100 40GB</t>
  </si>
  <si>
    <t>HBM2e</t>
  </si>
  <si>
    <t>Intel Xeon P-8275CL</t>
  </si>
  <si>
    <t>8 TB</t>
  </si>
  <si>
    <r>
      <rPr>
        <sz val="10"/>
        <rFont val="Noto Sans CJK SC"/>
        <family val="2"/>
      </rPr>
      <t>분산 학습</t>
    </r>
    <r>
      <rPr>
        <sz val="10"/>
        <rFont val="Arial"/>
        <charset val="1"/>
      </rPr>
      <t>, HPC</t>
    </r>
  </si>
  <si>
    <t>P4de</t>
  </si>
  <si>
    <t>p4de.24xlarge</t>
  </si>
  <si>
    <t>A100 80GB</t>
  </si>
  <si>
    <t>초대형 모델 학습</t>
  </si>
  <si>
    <t>P5</t>
  </si>
  <si>
    <t>p5.4xlarge</t>
  </si>
  <si>
    <t>H100 80GB</t>
  </si>
  <si>
    <t>Hopper</t>
  </si>
  <si>
    <t>HBM3</t>
  </si>
  <si>
    <t>-</t>
  </si>
  <si>
    <r>
      <rPr>
        <sz val="10"/>
        <rFont val="Noto Sans CJK SC"/>
        <family val="2"/>
      </rPr>
      <t>단일</t>
    </r>
    <r>
      <rPr>
        <sz val="10"/>
        <rFont val="Arial"/>
        <charset val="1"/>
      </rPr>
      <t xml:space="preserve">GPU </t>
    </r>
    <r>
      <rPr>
        <sz val="10"/>
        <rFont val="Noto Sans CJK SC"/>
        <family val="2"/>
      </rPr>
      <t>추론</t>
    </r>
    <r>
      <rPr>
        <sz val="10"/>
        <rFont val="Arial"/>
        <charset val="1"/>
      </rPr>
      <t>/</t>
    </r>
    <r>
      <rPr>
        <sz val="10"/>
        <rFont val="Noto Sans CJK SC"/>
        <family val="2"/>
      </rPr>
      <t>학습</t>
    </r>
  </si>
  <si>
    <t>p5.48xlarge</t>
  </si>
  <si>
    <t>3200</t>
  </si>
  <si>
    <t>30.4 TB</t>
  </si>
  <si>
    <r>
      <rPr>
        <sz val="10"/>
        <rFont val="Arial"/>
        <charset val="1"/>
      </rPr>
      <t xml:space="preserve">LLM </t>
    </r>
    <r>
      <rPr>
        <sz val="10"/>
        <rFont val="Noto Sans CJK SC"/>
        <family val="2"/>
      </rPr>
      <t>학습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 xml:space="preserve">대규모 </t>
    </r>
    <r>
      <rPr>
        <sz val="10"/>
        <rFont val="Arial"/>
        <charset val="1"/>
      </rPr>
      <t>AI</t>
    </r>
  </si>
  <si>
    <t>P5e</t>
  </si>
  <si>
    <t>p5e.48xlarge</t>
  </si>
  <si>
    <t>H200</t>
  </si>
  <si>
    <t>HBM3e</t>
  </si>
  <si>
    <t>에너지 효율 학습</t>
  </si>
  <si>
    <t>P5en</t>
  </si>
  <si>
    <t>p5en.48xlarge</t>
  </si>
  <si>
    <t>H200 NVL</t>
  </si>
  <si>
    <t>Intel Sapphire Rapids</t>
  </si>
  <si>
    <t>고대역폭 분산 학습</t>
  </si>
  <si>
    <t>P6-B200 ★</t>
  </si>
  <si>
    <t>p6-b200.48xlarge</t>
  </si>
  <si>
    <t>B200</t>
  </si>
  <si>
    <r>
      <rPr>
        <sz val="10"/>
        <rFont val="Noto Sans CJK SC"/>
        <family val="2"/>
      </rPr>
      <t xml:space="preserve">차세대 </t>
    </r>
    <r>
      <rPr>
        <sz val="10"/>
        <rFont val="Arial"/>
        <charset val="1"/>
      </rPr>
      <t xml:space="preserve">LLM </t>
    </r>
    <r>
      <rPr>
        <sz val="10"/>
        <rFont val="Noto Sans CJK SC"/>
        <family val="2"/>
      </rPr>
      <t>학습</t>
    </r>
  </si>
  <si>
    <t>P6-B300 ★</t>
  </si>
  <si>
    <t>p6-b300.48xlarge</t>
  </si>
  <si>
    <t>B300</t>
  </si>
  <si>
    <t>Blackwell Ultra</t>
  </si>
  <si>
    <r>
      <rPr>
        <sz val="10"/>
        <rFont val="Noto Sans CJK SC"/>
        <family val="2"/>
      </rPr>
      <t xml:space="preserve">최신 </t>
    </r>
    <r>
      <rPr>
        <sz val="10"/>
        <rFont val="Arial"/>
        <charset val="1"/>
      </rPr>
      <t xml:space="preserve">AI </t>
    </r>
    <r>
      <rPr>
        <sz val="10"/>
        <rFont val="Noto Sans CJK SC"/>
        <family val="2"/>
      </rPr>
      <t>학습</t>
    </r>
  </si>
  <si>
    <t>P6e-GB200 ★</t>
  </si>
  <si>
    <t>p6e-gb200.36xlarge</t>
  </si>
  <si>
    <t>GB200</t>
  </si>
  <si>
    <t>NVIDIA Grace (ARM)</t>
  </si>
  <si>
    <r>
      <rPr>
        <sz val="10"/>
        <rFont val="Noto Sans CJK SC"/>
        <family val="2"/>
      </rPr>
      <t xml:space="preserve">초대형 </t>
    </r>
    <r>
      <rPr>
        <sz val="10"/>
        <rFont val="Arial"/>
        <charset val="1"/>
      </rPr>
      <t xml:space="preserve">AI, ARM </t>
    </r>
    <r>
      <rPr>
        <sz val="10"/>
        <rFont val="Noto Sans CJK SC"/>
        <family val="2"/>
      </rPr>
      <t>기반</t>
    </r>
  </si>
  <si>
    <t>참고사항</t>
  </si>
  <si>
    <r>
      <rPr>
        <sz val="9"/>
        <color rgb="FF666666"/>
        <rFont val="Arial"/>
        <charset val="1"/>
      </rPr>
      <t xml:space="preserve">1. GPU </t>
    </r>
    <r>
      <rPr>
        <sz val="9"/>
        <color rgb="FF666666"/>
        <rFont val="Noto Sans CJK SC"/>
        <family val="2"/>
      </rPr>
      <t xml:space="preserve">스펙은 </t>
    </r>
    <r>
      <rPr>
        <sz val="9"/>
        <color rgb="FF666666"/>
        <rFont val="Arial"/>
        <charset val="1"/>
      </rPr>
      <t xml:space="preserve">per GPU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Arial"/>
        <charset val="1"/>
      </rPr>
      <t xml:space="preserve">. </t>
    </r>
    <r>
      <rPr>
        <sz val="9"/>
        <color rgb="FF666666"/>
        <rFont val="Noto Sans CJK SC"/>
        <family val="2"/>
      </rPr>
      <t xml:space="preserve">인스턴스 </t>
    </r>
    <r>
      <rPr>
        <sz val="9"/>
        <color rgb="FF666666"/>
        <rFont val="Arial"/>
        <charset val="1"/>
      </rPr>
      <t xml:space="preserve">GPU </t>
    </r>
    <r>
      <rPr>
        <sz val="9"/>
        <color rgb="FF666666"/>
        <rFont val="Noto Sans CJK SC"/>
        <family val="2"/>
      </rPr>
      <t>개수를 곱하면 총 성능 산출 가능</t>
    </r>
  </si>
  <si>
    <r>
      <rPr>
        <sz val="9"/>
        <color rgb="FF666666"/>
        <rFont val="Arial"/>
        <charset val="1"/>
      </rPr>
      <t>2. FP16 Tensor TFLOPS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>Dense(</t>
    </r>
    <r>
      <rPr>
        <sz val="9"/>
        <color rgb="FF666666"/>
        <rFont val="Noto Sans CJK SC"/>
        <family val="2"/>
      </rPr>
      <t>비희소</t>
    </r>
    <r>
      <rPr>
        <sz val="9"/>
        <color rgb="FF666666"/>
        <rFont val="Arial"/>
        <charset val="1"/>
      </rPr>
      <t xml:space="preserve">)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Arial"/>
        <charset val="1"/>
      </rPr>
      <t xml:space="preserve">. Sparsity </t>
    </r>
    <r>
      <rPr>
        <sz val="9"/>
        <color rgb="FF666666"/>
        <rFont val="Noto Sans CJK SC"/>
        <family val="2"/>
      </rPr>
      <t xml:space="preserve">적용 시 약 </t>
    </r>
    <r>
      <rPr>
        <sz val="9"/>
        <color rgb="FF666666"/>
        <rFont val="Arial"/>
        <charset val="1"/>
      </rPr>
      <t>2</t>
    </r>
    <r>
      <rPr>
        <sz val="9"/>
        <color rgb="FF666666"/>
        <rFont val="Noto Sans CJK SC"/>
        <family val="2"/>
      </rPr>
      <t>배</t>
    </r>
  </si>
  <si>
    <r>
      <rPr>
        <sz val="9"/>
        <color rgb="FF666666"/>
        <rFont val="Arial"/>
        <charset val="1"/>
      </rPr>
      <t>3. VRAM: AWS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 xml:space="preserve">GiB </t>
    </r>
    <r>
      <rPr>
        <sz val="9"/>
        <color rgb="FF666666"/>
        <rFont val="Noto Sans CJK SC"/>
        <family val="2"/>
      </rPr>
      <t xml:space="preserve">단위 표기 </t>
    </r>
    <r>
      <rPr>
        <sz val="9"/>
        <color rgb="FF666666"/>
        <rFont val="Arial"/>
        <charset val="1"/>
      </rPr>
      <t>(</t>
    </r>
    <r>
      <rPr>
        <sz val="9"/>
        <color rgb="FF666666"/>
        <rFont val="Noto Sans CJK SC"/>
        <family val="2"/>
      </rPr>
      <t>예</t>
    </r>
    <r>
      <rPr>
        <sz val="9"/>
        <color rgb="FF666666"/>
        <rFont val="Arial"/>
        <charset val="1"/>
      </rPr>
      <t xml:space="preserve">: A10G=22GiB). </t>
    </r>
    <r>
      <rPr>
        <sz val="9"/>
        <color rgb="FF666666"/>
        <rFont val="Noto Sans CJK SC"/>
        <family val="2"/>
      </rPr>
      <t xml:space="preserve">본 표는 </t>
    </r>
    <r>
      <rPr>
        <sz val="9"/>
        <color rgb="FF666666"/>
        <rFont val="Arial"/>
        <charset val="1"/>
      </rPr>
      <t xml:space="preserve">GPU </t>
    </r>
    <r>
      <rPr>
        <sz val="9"/>
        <color rgb="FF666666"/>
        <rFont val="Noto Sans CJK SC"/>
        <family val="2"/>
      </rPr>
      <t xml:space="preserve">공식 </t>
    </r>
    <r>
      <rPr>
        <sz val="9"/>
        <color rgb="FF666666"/>
        <rFont val="Arial"/>
        <charset val="1"/>
      </rPr>
      <t xml:space="preserve">GB </t>
    </r>
    <r>
      <rPr>
        <sz val="9"/>
        <color rgb="FF666666"/>
        <rFont val="Noto Sans CJK SC"/>
        <family val="2"/>
      </rPr>
      <t>스펙 기준</t>
    </r>
  </si>
  <si>
    <r>
      <rPr>
        <sz val="9"/>
        <color rgb="FF666666"/>
        <rFont val="Arial"/>
        <charset val="1"/>
      </rPr>
      <t>4. G7e, P6-B200, P6-B300, P6e-GB200</t>
    </r>
    <r>
      <rPr>
        <sz val="9"/>
        <color rgb="FF666666"/>
        <rFont val="Noto Sans CJK SC"/>
        <family val="2"/>
      </rPr>
      <t xml:space="preserve">은 </t>
    </r>
    <r>
      <rPr>
        <sz val="9"/>
        <color rgb="FF666666"/>
        <rFont val="Arial"/>
        <charset val="1"/>
      </rPr>
      <t xml:space="preserve">2025~2026 </t>
    </r>
    <r>
      <rPr>
        <sz val="9"/>
        <color rgb="FF666666"/>
        <rFont val="Noto Sans CJK SC"/>
        <family val="2"/>
      </rPr>
      <t>신규 출시</t>
    </r>
  </si>
  <si>
    <r>
      <rPr>
        <sz val="9"/>
        <color rgb="FF666666"/>
        <rFont val="Arial"/>
        <charset val="1"/>
      </rPr>
      <t xml:space="preserve">5. P5/P5e/P5en </t>
    </r>
    <r>
      <rPr>
        <sz val="9"/>
        <color rgb="FF666666"/>
        <rFont val="Noto Sans CJK SC"/>
        <family val="2"/>
      </rPr>
      <t xml:space="preserve">가격 </t>
    </r>
    <r>
      <rPr>
        <sz val="9"/>
        <color rgb="FF666666"/>
        <rFont val="Arial"/>
        <charset val="1"/>
      </rPr>
      <t xml:space="preserve">2025.06 </t>
    </r>
    <r>
      <rPr>
        <sz val="9"/>
        <color rgb="FF666666"/>
        <rFont val="Noto Sans CJK SC"/>
        <family val="2"/>
      </rPr>
      <t xml:space="preserve">최대 </t>
    </r>
    <r>
      <rPr>
        <sz val="9"/>
        <color rgb="FF666666"/>
        <rFont val="Arial"/>
        <charset val="1"/>
      </rPr>
      <t xml:space="preserve">45% </t>
    </r>
    <r>
      <rPr>
        <sz val="9"/>
        <color rgb="FF666666"/>
        <rFont val="Noto Sans CJK SC"/>
        <family val="2"/>
      </rPr>
      <t>인하</t>
    </r>
    <r>
      <rPr>
        <sz val="9"/>
        <color rgb="FF666666"/>
        <rFont val="Arial"/>
        <charset val="1"/>
      </rPr>
      <t>. P6</t>
    </r>
    <r>
      <rPr>
        <sz val="9"/>
        <color rgb="FF666666"/>
        <rFont val="Noto Sans CJK SC"/>
        <family val="2"/>
      </rPr>
      <t xml:space="preserve">은 </t>
    </r>
    <r>
      <rPr>
        <sz val="9"/>
        <color rgb="FF666666"/>
        <rFont val="Arial"/>
        <charset val="1"/>
      </rPr>
      <t>Capacity Blocks/Savings Plan</t>
    </r>
  </si>
  <si>
    <r>
      <rPr>
        <sz val="9"/>
        <color rgb="FF666666"/>
        <rFont val="Arial"/>
        <charset val="1"/>
      </rPr>
      <t xml:space="preserve">6. B200 per GPU VRAM: </t>
    </r>
    <r>
      <rPr>
        <sz val="9"/>
        <color rgb="FF666666"/>
        <rFont val="Noto Sans CJK SC"/>
        <family val="2"/>
      </rPr>
      <t xml:space="preserve">칩 </t>
    </r>
    <r>
      <rPr>
        <sz val="9"/>
        <color rgb="FF666666"/>
        <rFont val="Arial"/>
        <charset val="1"/>
      </rPr>
      <t xml:space="preserve">192GB / HGX </t>
    </r>
    <r>
      <rPr>
        <sz val="9"/>
        <color rgb="FF666666"/>
        <rFont val="Noto Sans CJK SC"/>
        <family val="2"/>
      </rPr>
      <t>시스템</t>
    </r>
    <r>
      <rPr>
        <sz val="9"/>
        <color rgb="FF666666"/>
        <rFont val="Arial"/>
        <charset val="1"/>
      </rPr>
      <t>(P6) 180GB</t>
    </r>
  </si>
  <si>
    <r>
      <rPr>
        <sz val="9"/>
        <color rgb="FF666666"/>
        <rFont val="Arial"/>
        <charset val="1"/>
      </rPr>
      <t xml:space="preserve">7. </t>
    </r>
    <r>
      <rPr>
        <sz val="9"/>
        <color rgb="FF666666"/>
        <rFont val="Noto Sans CJK SC"/>
        <family val="2"/>
      </rPr>
      <t>서울 리전</t>
    </r>
    <r>
      <rPr>
        <sz val="9"/>
        <color rgb="FF666666"/>
        <rFont val="Arial"/>
        <charset val="1"/>
      </rPr>
      <t>: O=</t>
    </r>
    <r>
      <rPr>
        <sz val="9"/>
        <color rgb="FF666666"/>
        <rFont val="Noto Sans CJK SC"/>
        <family val="2"/>
      </rPr>
      <t>확인됨</t>
    </r>
    <r>
      <rPr>
        <sz val="9"/>
        <color rgb="FF666666"/>
        <rFont val="Arial"/>
        <charset val="1"/>
      </rPr>
      <t xml:space="preserve">, </t>
    </r>
    <r>
      <rPr>
        <sz val="9"/>
        <color rgb="FF666666"/>
        <rFont val="Noto Sans CJK SC"/>
        <family val="2"/>
      </rPr>
      <t>확인</t>
    </r>
    <r>
      <rPr>
        <sz val="9"/>
        <color rgb="FF666666"/>
        <rFont val="Arial"/>
        <charset val="1"/>
      </rPr>
      <t>=</t>
    </r>
    <r>
      <rPr>
        <sz val="9"/>
        <color rgb="FF666666"/>
        <rFont val="Noto Sans CJK SC"/>
        <family val="2"/>
      </rPr>
      <t>공식 미확인</t>
    </r>
    <r>
      <rPr>
        <sz val="9"/>
        <color rgb="FF666666"/>
        <rFont val="Arial"/>
        <charset val="1"/>
      </rPr>
      <t>, X=</t>
    </r>
    <r>
      <rPr>
        <sz val="9"/>
        <color rgb="FF666666"/>
        <rFont val="Noto Sans CJK SC"/>
        <family val="2"/>
      </rPr>
      <t>현재 미제공</t>
    </r>
  </si>
  <si>
    <r>
      <rPr>
        <sz val="9"/>
        <color rgb="FF666666"/>
        <rFont val="Arial"/>
        <charset val="1"/>
      </rPr>
      <t xml:space="preserve">8. G6f/Gr6/Gr6f (L4 </t>
    </r>
    <r>
      <rPr>
        <sz val="9"/>
        <color rgb="FF666666"/>
        <rFont val="Noto Sans CJK SC"/>
        <family val="2"/>
      </rPr>
      <t>분할</t>
    </r>
    <r>
      <rPr>
        <sz val="9"/>
        <color rgb="FF666666"/>
        <rFont val="Arial"/>
        <charset val="1"/>
      </rPr>
      <t>/</t>
    </r>
    <r>
      <rPr>
        <sz val="9"/>
        <color rgb="FF666666"/>
        <rFont val="Noto Sans CJK SC"/>
        <family val="2"/>
      </rPr>
      <t>고메모리</t>
    </r>
    <r>
      <rPr>
        <sz val="9"/>
        <color rgb="FF666666"/>
        <rFont val="Arial"/>
        <charset val="1"/>
      </rPr>
      <t>)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 xml:space="preserve">GPU </t>
    </r>
    <r>
      <rPr>
        <sz val="9"/>
        <color rgb="FF666666"/>
        <rFont val="Noto Sans CJK SC"/>
        <family val="2"/>
      </rPr>
      <t>스펙 동일하므로 별도 미표기</t>
    </r>
  </si>
  <si>
    <r>
      <rPr>
        <b/>
        <sz val="11"/>
        <color rgb="FFFFFFFF"/>
        <rFont val="Arial"/>
        <charset val="1"/>
      </rPr>
      <t xml:space="preserve">GPU </t>
    </r>
    <r>
      <rPr>
        <b/>
        <sz val="11"/>
        <color rgb="FFFFFFFF"/>
        <rFont val="Noto Sans CJK SC"/>
        <family val="2"/>
      </rPr>
      <t>모델</t>
    </r>
  </si>
  <si>
    <t>공정</t>
  </si>
  <si>
    <t>CUDA Cores</t>
  </si>
  <si>
    <t>Tensor Cores</t>
  </si>
  <si>
    <t>VRAM (GB)</t>
  </si>
  <si>
    <t>메모리 타입</t>
  </si>
  <si>
    <t>메모리 대역폭
(GB/s)</t>
  </si>
  <si>
    <t>FP32
(TFLOPS)</t>
  </si>
  <si>
    <t>TDP (W)</t>
  </si>
  <si>
    <t>NVLink
(GB/s)</t>
  </si>
  <si>
    <r>
      <rPr>
        <b/>
        <sz val="11"/>
        <color rgb="FFFFFFFF"/>
        <rFont val="Arial"/>
        <charset val="1"/>
      </rPr>
      <t xml:space="preserve">MIG
</t>
    </r>
    <r>
      <rPr>
        <b/>
        <sz val="11"/>
        <color rgb="FFFFFFFF"/>
        <rFont val="Noto Sans CJK SC"/>
        <family val="2"/>
      </rPr>
      <t>지원</t>
    </r>
  </si>
  <si>
    <t>폼팩터</t>
  </si>
  <si>
    <t>참고가격
(USD, 추정)</t>
  </si>
  <si>
    <t>일반
(Gaming)</t>
  </si>
  <si>
    <t>GeForce RTX 3090</t>
  </si>
  <si>
    <t>8nm</t>
  </si>
  <si>
    <t>GDDR6X</t>
  </si>
  <si>
    <t>No</t>
  </si>
  <si>
    <t>PCIe</t>
  </si>
  <si>
    <t>게이밍, 개인 실험</t>
  </si>
  <si>
    <t>$1,499</t>
  </si>
  <si>
    <t>GeForce RTX 4090</t>
  </si>
  <si>
    <t>4nm</t>
  </si>
  <si>
    <t>게이밍, 로컬 추론/학습</t>
  </si>
  <si>
    <t>$1,599</t>
  </si>
  <si>
    <t>GeForce RTX 5090</t>
  </si>
  <si>
    <t>$1,999</t>
  </si>
  <si>
    <t>워크스테이션</t>
  </si>
  <si>
    <t>RTX A5000</t>
  </si>
  <si>
    <t>112.5</t>
  </si>
  <si>
    <r>
      <rPr>
        <sz val="10"/>
        <rFont val="Arial"/>
        <charset val="1"/>
      </rPr>
      <t xml:space="preserve">VDI, </t>
    </r>
    <r>
      <rPr>
        <sz val="10"/>
        <rFont val="Noto Sans CJK SC"/>
        <family val="2"/>
      </rPr>
      <t>시각화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추론</t>
    </r>
  </si>
  <si>
    <t>$2,500</t>
  </si>
  <si>
    <t>RTX A6000</t>
  </si>
  <si>
    <t>시각화, 학습, 추론</t>
  </si>
  <si>
    <t>$4,650</t>
  </si>
  <si>
    <t>RTX 6000 Ada</t>
  </si>
  <si>
    <t>$6,800</t>
  </si>
  <si>
    <t>RTX PRO 6000 Blackwell</t>
  </si>
  <si>
    <t>Yes(4)</t>
  </si>
  <si>
    <t>시각화, AI 학습/추론
AWS G7e (Server Ed.)</t>
  </si>
  <si>
    <t>$8,500</t>
  </si>
  <si>
    <t>데이터센터
(Entry)</t>
  </si>
  <si>
    <t>12nm</t>
  </si>
  <si>
    <t>PCIe LP</t>
  </si>
  <si>
    <t>추론, 비디오 처리</t>
  </si>
  <si>
    <t>$2,200</t>
  </si>
  <si>
    <t>추론, AI 비디오</t>
  </si>
  <si>
    <t>$3,000</t>
  </si>
  <si>
    <t>데이터센터
(Mid)</t>
  </si>
  <si>
    <t>추론, 그래픽, VDI</t>
  </si>
  <si>
    <t>$3,300</t>
  </si>
  <si>
    <t>A30</t>
  </si>
  <si>
    <t>7nm</t>
  </si>
  <si>
    <t>200</t>
  </si>
  <si>
    <t>추론, 소규모 학습</t>
  </si>
  <si>
    <t>$4,000</t>
  </si>
  <si>
    <t>A40</t>
  </si>
  <si>
    <t>시각화, 추론, VDI</t>
  </si>
  <si>
    <t>$5,000</t>
  </si>
  <si>
    <t>추론, 학습, 그래픽</t>
  </si>
  <si>
    <t>$7,000</t>
  </si>
  <si>
    <t>데이터센터
(High)</t>
  </si>
  <si>
    <t>A100 80GB SXM</t>
  </si>
  <si>
    <t>600</t>
  </si>
  <si>
    <t>Yes(7)</t>
  </si>
  <si>
    <t>SXM</t>
  </si>
  <si>
    <t>대규모 학습/추론</t>
  </si>
  <si>
    <t>$15,000</t>
  </si>
  <si>
    <t>A100 80GB PCIe</t>
  </si>
  <si>
    <t>$12,000</t>
  </si>
  <si>
    <t>H100 SXM</t>
  </si>
  <si>
    <t>900</t>
  </si>
  <si>
    <t>초대규모 학습/추론</t>
  </si>
  <si>
    <t>$30,000</t>
  </si>
  <si>
    <t>H100 PCIe</t>
  </si>
  <si>
    <t>$25,000</t>
  </si>
  <si>
    <t>H200 SXM</t>
  </si>
  <si>
    <t>$35,000</t>
  </si>
  <si>
    <t>데이터센터
(최신)</t>
  </si>
  <si>
    <r>
      <rPr>
        <sz val="10"/>
        <rFont val="Arial"/>
        <charset val="1"/>
      </rPr>
      <t>B200 SXM
(</t>
    </r>
    <r>
      <rPr>
        <sz val="10"/>
        <rFont val="Noto Sans CJK SC"/>
        <family val="2"/>
      </rPr>
      <t>칩</t>
    </r>
    <r>
      <rPr>
        <sz val="10"/>
        <rFont val="Arial"/>
        <charset val="1"/>
      </rPr>
      <t>: 192GB / HGX: 180GB)</t>
    </r>
  </si>
  <si>
    <r>
      <rPr>
        <sz val="10"/>
        <rFont val="Arial"/>
        <charset val="1"/>
      </rPr>
      <t>192 (</t>
    </r>
    <r>
      <rPr>
        <sz val="10"/>
        <rFont val="Noto Sans CJK SC"/>
        <family val="2"/>
      </rPr>
      <t>칩</t>
    </r>
    <r>
      <rPr>
        <sz val="10"/>
        <rFont val="Arial"/>
        <charset val="1"/>
      </rPr>
      <t>)
180 (HGX)</t>
    </r>
  </si>
  <si>
    <t>1800</t>
  </si>
  <si>
    <t>Yes</t>
  </si>
  <si>
    <t>$40,000+</t>
  </si>
  <si>
    <t>B300 SXM</t>
  </si>
  <si>
    <t>프론티어 AI</t>
  </si>
  <si>
    <t>미정</t>
  </si>
  <si>
    <t>INT8 Tensor
(TOPS)
[Dense]</t>
  </si>
  <si>
    <t>TDP
(W)</t>
  </si>
  <si>
    <t>성능/W
(FP16 TFLOPS/W)</t>
  </si>
  <si>
    <r>
      <rPr>
        <b/>
        <sz val="11"/>
        <color rgb="FFFFFFFF"/>
        <rFont val="Arial"/>
        <charset val="1"/>
      </rPr>
      <t xml:space="preserve">7B </t>
    </r>
    <r>
      <rPr>
        <b/>
        <sz val="11"/>
        <color rgb="FFFFFFFF"/>
        <rFont val="Noto Sans CJK SC"/>
        <family val="2"/>
      </rPr>
      <t>모델
적합도</t>
    </r>
  </si>
  <si>
    <r>
      <rPr>
        <b/>
        <sz val="11"/>
        <color rgb="FFFFFFFF"/>
        <rFont val="Arial"/>
        <charset val="1"/>
      </rPr>
      <t xml:space="preserve">13B </t>
    </r>
    <r>
      <rPr>
        <b/>
        <sz val="11"/>
        <color rgb="FFFFFFFF"/>
        <rFont val="Noto Sans CJK SC"/>
        <family val="2"/>
      </rPr>
      <t>모델
적합도</t>
    </r>
  </si>
  <si>
    <r>
      <rPr>
        <b/>
        <sz val="11"/>
        <color rgb="FFFFFFFF"/>
        <rFont val="Arial"/>
        <charset val="1"/>
      </rPr>
      <t xml:space="preserve">70B </t>
    </r>
    <r>
      <rPr>
        <b/>
        <sz val="11"/>
        <color rgb="FFFFFFFF"/>
        <rFont val="Noto Sans CJK SC"/>
        <family val="2"/>
      </rPr>
      <t>모델
적합도</t>
    </r>
  </si>
  <si>
    <t>추론 등급</t>
  </si>
  <si>
    <t>가능</t>
  </si>
  <si>
    <t>제한적</t>
  </si>
  <si>
    <t>불가</t>
  </si>
  <si>
    <t>Entry</t>
  </si>
  <si>
    <t>우수</t>
  </si>
  <si>
    <t>Entry+</t>
  </si>
  <si>
    <t>Mid</t>
  </si>
  <si>
    <t>제한적(Q4)</t>
  </si>
  <si>
    <t>RTX 4090</t>
  </si>
  <si>
    <t>Mid+</t>
  </si>
  <si>
    <t>RTX 5090</t>
  </si>
  <si>
    <t>가능(Q4)</t>
  </si>
  <si>
    <t>High-</t>
  </si>
  <si>
    <t>우수(Q4/Q8)</t>
  </si>
  <si>
    <t>High
(AWS G7e)</t>
  </si>
  <si>
    <t>High</t>
  </si>
  <si>
    <t>High+</t>
  </si>
  <si>
    <t>Ultra</t>
  </si>
  <si>
    <t>B200 SXM</t>
  </si>
  <si>
    <t>192/180</t>
  </si>
  <si>
    <t>Ultra+</t>
  </si>
  <si>
    <r>
      <rPr>
        <b/>
        <sz val="11"/>
        <color rgb="FFFFFFFF"/>
        <rFont val="Arial"/>
        <charset val="1"/>
      </rPr>
      <t xml:space="preserve">FP8 </t>
    </r>
    <r>
      <rPr>
        <b/>
        <sz val="11"/>
        <color rgb="FFFFFFFF"/>
        <rFont val="Noto Sans CJK SC"/>
        <family val="2"/>
      </rPr>
      <t>지원</t>
    </r>
  </si>
  <si>
    <r>
      <rPr>
        <b/>
        <sz val="11"/>
        <color rgb="FFFFFFFF"/>
        <rFont val="Arial"/>
        <charset val="1"/>
      </rPr>
      <t xml:space="preserve">FP4 </t>
    </r>
    <r>
      <rPr>
        <b/>
        <sz val="11"/>
        <color rgb="FFFFFFFF"/>
        <rFont val="Noto Sans CJK SC"/>
        <family val="2"/>
      </rPr>
      <t>지원</t>
    </r>
  </si>
  <si>
    <t>MIG</t>
  </si>
  <si>
    <t>소규모 학습
(~7B)</t>
  </si>
  <si>
    <t>중규모 학습
(~70B)</t>
  </si>
  <si>
    <t>대규모 학습
(100B+)</t>
  </si>
  <si>
    <t>학습 등급</t>
  </si>
  <si>
    <t>Mid-</t>
  </si>
  <si>
    <t>가능(멀티)</t>
  </si>
  <si>
    <t>우수(멀티)</t>
  </si>
  <si>
    <t>Max</t>
  </si>
  <si>
    <r>
      <rPr>
        <b/>
        <sz val="11"/>
        <color rgb="FFFFFFFF"/>
        <rFont val="Arial"/>
        <charset val="1"/>
      </rPr>
      <t xml:space="preserve">AWS
</t>
    </r>
    <r>
      <rPr>
        <b/>
        <sz val="11"/>
        <color rgb="FFFFFFFF"/>
        <rFont val="Noto Sans CJK SC"/>
        <family val="2"/>
      </rPr>
      <t>인스턴스 패밀리</t>
    </r>
  </si>
  <si>
    <r>
      <rPr>
        <b/>
        <sz val="11"/>
        <color rgb="FFFFFFFF"/>
        <rFont val="Arial"/>
        <charset val="1"/>
      </rPr>
      <t xml:space="preserve">AWS
</t>
    </r>
    <r>
      <rPr>
        <b/>
        <sz val="11"/>
        <color rgb="FFFFFFFF"/>
        <rFont val="Noto Sans CJK SC"/>
        <family val="2"/>
      </rPr>
      <t>인스턴스 예시</t>
    </r>
  </si>
  <si>
    <r>
      <rPr>
        <b/>
        <sz val="11"/>
        <color rgb="FFFFFFFF"/>
        <rFont val="Arial"/>
        <charset val="1"/>
      </rPr>
      <t xml:space="preserve">AWS GPU
</t>
    </r>
    <r>
      <rPr>
        <b/>
        <sz val="11"/>
        <color rgb="FFFFFFFF"/>
        <rFont val="Noto Sans CJK SC"/>
        <family val="2"/>
      </rPr>
      <t>개수</t>
    </r>
  </si>
  <si>
    <r>
      <rPr>
        <b/>
        <sz val="11"/>
        <color rgb="FFFFFFFF"/>
        <rFont val="Arial"/>
        <charset val="1"/>
      </rPr>
      <t>AWS On-Demand
$/hr
(</t>
    </r>
    <r>
      <rPr>
        <b/>
        <sz val="11"/>
        <color rgb="FFFFFFFF"/>
        <rFont val="Noto Sans CJK SC"/>
        <family val="2"/>
      </rPr>
      <t>인스턴스 기준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</si>
  <si>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Arial"/>
        <charset val="1"/>
      </rPr>
      <t xml:space="preserve">GCP
</t>
    </r>
    <r>
      <rPr>
        <b/>
        <sz val="11"/>
        <color rgb="FFFFFFFF"/>
        <rFont val="Noto Sans CJK SC"/>
        <family val="2"/>
      </rPr>
      <t>머신타입</t>
    </r>
  </si>
  <si>
    <r>
      <rPr>
        <b/>
        <sz val="11"/>
        <color rgb="FFFFFFFF"/>
        <rFont val="Arial"/>
        <charset val="1"/>
      </rPr>
      <t xml:space="preserve">Azure
</t>
    </r>
    <r>
      <rPr>
        <b/>
        <sz val="11"/>
        <color rgb="FFFFFFFF"/>
        <rFont val="Noto Sans CJK SC"/>
        <family val="2"/>
      </rPr>
      <t>시리즈</t>
    </r>
  </si>
  <si>
    <t>서울 리전
가용 여부</t>
  </si>
  <si>
    <t>g4dn.xlarge
g4dn.2xlarge
g4dn.12xlarge</t>
  </si>
  <si>
    <t>1 / 1 / 4</t>
  </si>
  <si>
    <t>$0.53
$0.75
$3.91</t>
  </si>
  <si>
    <t>n1-standard + T4</t>
  </si>
  <si>
    <t>NC T4 v3</t>
  </si>
  <si>
    <r>
      <rPr>
        <sz val="10"/>
        <rFont val="Arial"/>
        <charset val="1"/>
      </rPr>
      <t>O (</t>
    </r>
    <r>
      <rPr>
        <sz val="10"/>
        <rFont val="Noto Sans CJK SC"/>
        <family val="2"/>
      </rPr>
      <t>서울</t>
    </r>
    <r>
      <rPr>
        <sz val="10"/>
        <rFont val="Arial"/>
        <charset val="1"/>
      </rPr>
      <t>)</t>
    </r>
  </si>
  <si>
    <t>g5.xlarge
g5.2xlarge
g5.12xlarge
g5.48xlarge</t>
  </si>
  <si>
    <t>1 / 1 / 4 / 8</t>
  </si>
  <si>
    <t>$1.01
$1.21
$5.67
$16.29</t>
  </si>
  <si>
    <t>g6.xlarge
g6.2xlarge
g6.12xlarge
g6.48xlarge</t>
  </si>
  <si>
    <t>$0.80
$0.98
$4.60
$13.35</t>
  </si>
  <si>
    <t>g2-standard-*</t>
  </si>
  <si>
    <t>NC ads A10 v4</t>
  </si>
  <si>
    <t>g6e.xlarge
g6e.2xlarge
g6e.12xlarge
g6e.48xlarge</t>
  </si>
  <si>
    <t>$1.86
$2.35
$10.68
$30.44</t>
  </si>
  <si>
    <t>g2-standard-* (L40S)</t>
  </si>
  <si>
    <t>확인 필요</t>
  </si>
  <si>
    <t>RTX PRO 6000
Blackwell Server Ed.</t>
  </si>
  <si>
    <t>G7e</t>
  </si>
  <si>
    <t>g7e.xlarge
g7e.2xlarge
g7e.12xlarge
g7e.48xlarge</t>
  </si>
  <si>
    <t>가격 미공개
(2026.01 출시)</t>
  </si>
  <si>
    <r>
      <rPr>
        <sz val="10"/>
        <rFont val="Arial"/>
        <charset val="1"/>
      </rPr>
      <t xml:space="preserve">AI </t>
    </r>
    <r>
      <rPr>
        <sz val="10"/>
        <rFont val="Noto Sans CJK SC"/>
        <family val="2"/>
      </rPr>
      <t>추론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공간컴퓨팅
과학계산</t>
    </r>
    <r>
      <rPr>
        <sz val="10"/>
        <rFont val="Arial"/>
        <charset val="1"/>
      </rPr>
      <t xml:space="preserve">, </t>
    </r>
    <r>
      <rPr>
        <sz val="10"/>
        <rFont val="Noto Sans CJK SC"/>
        <family val="2"/>
      </rPr>
      <t>그래픽</t>
    </r>
  </si>
  <si>
    <r>
      <rPr>
        <sz val="10"/>
        <rFont val="Arial"/>
        <charset val="1"/>
      </rPr>
      <t>X (us-east</t>
    </r>
    <r>
      <rPr>
        <sz val="10"/>
        <rFont val="Noto Sans CJK SC"/>
        <family val="2"/>
      </rPr>
      <t>만</t>
    </r>
    <r>
      <rPr>
        <sz val="10"/>
        <rFont val="Arial"/>
        <charset val="1"/>
      </rPr>
      <t>)</t>
    </r>
  </si>
  <si>
    <t>8</t>
  </si>
  <si>
    <r>
      <rPr>
        <sz val="10"/>
        <rFont val="Arial"/>
        <charset val="1"/>
      </rPr>
      <t>$19.22
(</t>
    </r>
    <r>
      <rPr>
        <sz val="10"/>
        <rFont val="Noto Sans CJK SC"/>
        <family val="2"/>
      </rPr>
      <t>인하 후</t>
    </r>
    <r>
      <rPr>
        <sz val="10"/>
        <rFont val="Arial"/>
        <charset val="1"/>
      </rPr>
      <t>)</t>
    </r>
  </si>
  <si>
    <t>a2-highgpu-*</t>
  </si>
  <si>
    <t>NC A100 v4</t>
  </si>
  <si>
    <r>
      <rPr>
        <sz val="10"/>
        <rFont val="Arial"/>
        <charset val="1"/>
      </rPr>
      <t>$27.45
(</t>
    </r>
    <r>
      <rPr>
        <sz val="10"/>
        <rFont val="Noto Sans CJK SC"/>
        <family val="2"/>
      </rPr>
      <t>인하 후</t>
    </r>
    <r>
      <rPr>
        <sz val="10"/>
        <rFont val="Arial"/>
        <charset val="1"/>
      </rPr>
      <t>)</t>
    </r>
  </si>
  <si>
    <t>a2-ultragpu-*</t>
  </si>
  <si>
    <t>ND A100 v4</t>
  </si>
  <si>
    <r>
      <rPr>
        <sz val="10"/>
        <rFont val="Arial"/>
        <charset val="1"/>
      </rPr>
      <t>$24.48
(</t>
    </r>
    <r>
      <rPr>
        <sz val="10"/>
        <rFont val="Noto Sans CJK SC"/>
        <family val="2"/>
      </rPr>
      <t>인하 후</t>
    </r>
    <r>
      <rPr>
        <sz val="10"/>
        <rFont val="Arial"/>
        <charset val="1"/>
      </rPr>
      <t>)</t>
    </r>
  </si>
  <si>
    <t>a3-highgpu-8g
a3-megagpu-8g</t>
  </si>
  <si>
    <t>ND H100 v5</t>
  </si>
  <si>
    <t>P5e / P5en</t>
  </si>
  <si>
    <t>p5e.48xlarge
p5en.48xlarge</t>
  </si>
  <si>
    <t>8 / 8</t>
  </si>
  <si>
    <r>
      <rPr>
        <sz val="10"/>
        <rFont val="Arial"/>
        <charset val="1"/>
      </rPr>
      <t>$35~45
(</t>
    </r>
    <r>
      <rPr>
        <sz val="10"/>
        <rFont val="Noto Sans CJK SC"/>
        <family val="2"/>
      </rPr>
      <t>인하 후</t>
    </r>
    <r>
      <rPr>
        <sz val="10"/>
        <rFont val="Arial"/>
        <charset val="1"/>
      </rPr>
      <t>)</t>
    </r>
  </si>
  <si>
    <t>a3-ultragpu-8g</t>
  </si>
  <si>
    <t>ND H200 v5</t>
  </si>
  <si>
    <r>
      <rPr>
        <sz val="10"/>
        <rFont val="Arial"/>
        <charset val="1"/>
      </rPr>
      <t>B200
(</t>
    </r>
    <r>
      <rPr>
        <sz val="10"/>
        <rFont val="Noto Sans CJK SC"/>
        <family val="2"/>
      </rPr>
      <t>칩</t>
    </r>
    <r>
      <rPr>
        <sz val="10"/>
        <rFont val="Arial"/>
        <charset val="1"/>
      </rPr>
      <t>:192GB/HGX:180GB)</t>
    </r>
  </si>
  <si>
    <t>P6-B200</t>
  </si>
  <si>
    <t>p6-b200
(Capacity Blocks)</t>
  </si>
  <si>
    <r>
      <rPr>
        <sz val="10"/>
        <rFont val="Arial"/>
        <charset val="1"/>
      </rPr>
      <t>$50+
(</t>
    </r>
    <r>
      <rPr>
        <sz val="10"/>
        <rFont val="Noto Sans CJK SC"/>
        <family val="2"/>
      </rPr>
      <t>추정</t>
    </r>
    <r>
      <rPr>
        <sz val="10"/>
        <rFont val="Arial"/>
        <charset val="1"/>
      </rPr>
      <t>)</t>
    </r>
  </si>
  <si>
    <t>a4-* (B200)</t>
  </si>
  <si>
    <r>
      <rPr>
        <sz val="10"/>
        <rFont val="Arial"/>
        <charset val="1"/>
      </rPr>
      <t xml:space="preserve">ND GB200 v6
(GB200 </t>
    </r>
    <r>
      <rPr>
        <sz val="10"/>
        <rFont val="Noto Sans CJK SC"/>
        <family val="2"/>
      </rPr>
      <t>계열</t>
    </r>
    <r>
      <rPr>
        <sz val="10"/>
        <rFont val="Arial"/>
        <charset val="1"/>
      </rPr>
      <t>)</t>
    </r>
  </si>
  <si>
    <r>
      <rPr>
        <sz val="10"/>
        <rFont val="Arial"/>
        <charset val="1"/>
      </rPr>
      <t>X (</t>
    </r>
    <r>
      <rPr>
        <sz val="10"/>
        <rFont val="Noto Sans CJK SC"/>
        <family val="2"/>
      </rPr>
      <t>미출시</t>
    </r>
    <r>
      <rPr>
        <sz val="10"/>
        <rFont val="Arial"/>
        <charset val="1"/>
      </rPr>
      <t>)</t>
    </r>
  </si>
  <si>
    <r>
      <rPr>
        <sz val="9"/>
        <color rgb="FF666666"/>
        <rFont val="Arial"/>
        <charset val="1"/>
      </rPr>
      <t xml:space="preserve">1. AWS </t>
    </r>
    <r>
      <rPr>
        <sz val="9"/>
        <color rgb="FF666666"/>
        <rFont val="Noto Sans CJK SC"/>
        <family val="2"/>
      </rPr>
      <t xml:space="preserve">가격은 인스턴스 단위 </t>
    </r>
    <r>
      <rPr>
        <sz val="9"/>
        <color rgb="FF666666"/>
        <rFont val="Arial"/>
        <charset val="1"/>
      </rPr>
      <t xml:space="preserve">On-Demand (Linux, us-east-1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Arial"/>
        <charset val="1"/>
      </rPr>
      <t>). GPU 1</t>
    </r>
    <r>
      <rPr>
        <sz val="9"/>
        <color rgb="FF666666"/>
        <rFont val="Noto Sans CJK SC"/>
        <family val="2"/>
      </rPr>
      <t>장 가격이 아님에 주의</t>
    </r>
  </si>
  <si>
    <r>
      <rPr>
        <sz val="9"/>
        <color rgb="FF666666"/>
        <rFont val="Arial"/>
        <charset val="1"/>
      </rPr>
      <t xml:space="preserve">2. AWS P4d/P5 </t>
    </r>
    <r>
      <rPr>
        <sz val="9"/>
        <color rgb="FF666666"/>
        <rFont val="Noto Sans CJK SC"/>
        <family val="2"/>
      </rPr>
      <t xml:space="preserve">가격은 </t>
    </r>
    <r>
      <rPr>
        <sz val="9"/>
        <color rgb="FF666666"/>
        <rFont val="Arial"/>
        <charset val="1"/>
      </rPr>
      <t xml:space="preserve">2025.06 </t>
    </r>
    <r>
      <rPr>
        <sz val="9"/>
        <color rgb="FF666666"/>
        <rFont val="Noto Sans CJK SC"/>
        <family val="2"/>
      </rPr>
      <t xml:space="preserve">최대 </t>
    </r>
    <r>
      <rPr>
        <sz val="9"/>
        <color rgb="FF666666"/>
        <rFont val="Arial"/>
        <charset val="1"/>
      </rPr>
      <t xml:space="preserve">45% </t>
    </r>
    <r>
      <rPr>
        <sz val="9"/>
        <color rgb="FF666666"/>
        <rFont val="Noto Sans CJK SC"/>
        <family val="2"/>
      </rPr>
      <t>인하 적용 후 추정치</t>
    </r>
  </si>
  <si>
    <r>
      <rPr>
        <sz val="9"/>
        <color rgb="FF666666"/>
        <rFont val="Arial"/>
        <charset val="1"/>
      </rPr>
      <t>3. AWS P6-B200</t>
    </r>
    <r>
      <rPr>
        <sz val="9"/>
        <color rgb="FF666666"/>
        <rFont val="Noto Sans CJK SC"/>
        <family val="2"/>
      </rPr>
      <t xml:space="preserve">은 </t>
    </r>
    <r>
      <rPr>
        <sz val="9"/>
        <color rgb="FF666666"/>
        <rFont val="Arial"/>
        <charset val="1"/>
      </rPr>
      <t xml:space="preserve">2025.05 Capacity Blocks </t>
    </r>
    <r>
      <rPr>
        <sz val="9"/>
        <color rgb="FF666666"/>
        <rFont val="Noto Sans CJK SC"/>
        <family val="2"/>
      </rPr>
      <t>출시</t>
    </r>
    <r>
      <rPr>
        <sz val="9"/>
        <color rgb="FF666666"/>
        <rFont val="Arial"/>
        <charset val="1"/>
      </rPr>
      <t>, G7e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>2026.01 GA (us-east</t>
    </r>
    <r>
      <rPr>
        <sz val="9"/>
        <color rgb="FF666666"/>
        <rFont val="Noto Sans CJK SC"/>
        <family val="2"/>
      </rPr>
      <t>만</t>
    </r>
    <r>
      <rPr>
        <sz val="9"/>
        <color rgb="FF666666"/>
        <rFont val="Arial"/>
        <charset val="1"/>
      </rPr>
      <t>)</t>
    </r>
  </si>
  <si>
    <r>
      <rPr>
        <sz val="9"/>
        <color rgb="FF666666"/>
        <rFont val="Arial"/>
        <charset val="1"/>
      </rPr>
      <t xml:space="preserve">4. GCP/Azure </t>
    </r>
    <r>
      <rPr>
        <sz val="9"/>
        <color rgb="FF666666"/>
        <rFont val="Noto Sans CJK SC"/>
        <family val="2"/>
      </rPr>
      <t>인스턴스명은 대표적인 것만 표기</t>
    </r>
    <r>
      <rPr>
        <sz val="9"/>
        <color rgb="FF666666"/>
        <rFont val="Arial"/>
        <charset val="1"/>
      </rPr>
      <t>. Oracle Cloud</t>
    </r>
    <r>
      <rPr>
        <sz val="9"/>
        <color rgb="FF666666"/>
        <rFont val="Noto Sans CJK SC"/>
        <family val="2"/>
      </rPr>
      <t xml:space="preserve">도 </t>
    </r>
    <r>
      <rPr>
        <sz val="9"/>
        <color rgb="FF666666"/>
        <rFont val="Arial"/>
        <charset val="1"/>
      </rPr>
      <t xml:space="preserve">T4/A100/H100/H200 </t>
    </r>
    <r>
      <rPr>
        <sz val="9"/>
        <color rgb="FF666666"/>
        <rFont val="Noto Sans CJK SC"/>
        <family val="2"/>
      </rPr>
      <t>제공</t>
    </r>
  </si>
  <si>
    <r>
      <rPr>
        <sz val="9"/>
        <color rgb="FF666666"/>
        <rFont val="Arial"/>
        <charset val="1"/>
      </rPr>
      <t xml:space="preserve">5. </t>
    </r>
    <r>
      <rPr>
        <sz val="9"/>
        <color rgb="FF666666"/>
        <rFont val="Noto Sans CJK SC"/>
        <family val="2"/>
      </rPr>
      <t xml:space="preserve">서울 리전 가용 여부는 수시 변동 → </t>
    </r>
    <r>
      <rPr>
        <sz val="9"/>
        <color rgb="FF666666"/>
        <rFont val="Arial"/>
        <charset val="1"/>
      </rPr>
      <t xml:space="preserve">AWS </t>
    </r>
    <r>
      <rPr>
        <sz val="9"/>
        <color rgb="FF666666"/>
        <rFont val="Noto Sans CJK SC"/>
        <family val="2"/>
      </rPr>
      <t>콘솔에서 최종 확인 필요</t>
    </r>
  </si>
  <si>
    <r>
      <rPr>
        <sz val="9"/>
        <color rgb="FF666666"/>
        <rFont val="Arial"/>
        <charset val="1"/>
      </rPr>
      <t xml:space="preserve">6. RTX </t>
    </r>
    <r>
      <rPr>
        <sz val="9"/>
        <color rgb="FF666666"/>
        <rFont val="Noto Sans CJK SC"/>
        <family val="2"/>
      </rPr>
      <t>시리즈</t>
    </r>
    <r>
      <rPr>
        <sz val="9"/>
        <color rgb="FF666666"/>
        <rFont val="Arial"/>
        <charset val="1"/>
      </rPr>
      <t>(3090/4090/5090/PRO 6000 WS Ed.)</t>
    </r>
    <r>
      <rPr>
        <sz val="9"/>
        <color rgb="FF666666"/>
        <rFont val="Noto Sans CJK SC"/>
        <family val="2"/>
      </rPr>
      <t xml:space="preserve">는 클라우드 미제공 </t>
    </r>
    <r>
      <rPr>
        <sz val="9"/>
        <color rgb="FF666666"/>
        <rFont val="Arial"/>
        <charset val="1"/>
      </rPr>
      <t>(</t>
    </r>
    <r>
      <rPr>
        <sz val="9"/>
        <color rgb="FF666666"/>
        <rFont val="Noto Sans CJK SC"/>
        <family val="2"/>
      </rPr>
      <t>자체 구축 전용</t>
    </r>
    <r>
      <rPr>
        <sz val="9"/>
        <color rgb="FF666666"/>
        <rFont val="Arial"/>
        <charset val="1"/>
      </rPr>
      <t>)</t>
    </r>
  </si>
  <si>
    <r>
      <rPr>
        <sz val="9"/>
        <color rgb="FF666666"/>
        <rFont val="Arial"/>
        <charset val="1"/>
      </rPr>
      <t>7. Azure ND GB200 v6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 xml:space="preserve">B200 </t>
    </r>
    <r>
      <rPr>
        <sz val="9"/>
        <color rgb="FF666666"/>
        <rFont val="Noto Sans CJK SC"/>
        <family val="2"/>
      </rPr>
      <t xml:space="preserve">단독이 아닌 </t>
    </r>
    <r>
      <rPr>
        <sz val="9"/>
        <color rgb="FF666666"/>
        <rFont val="Arial"/>
        <charset val="1"/>
      </rPr>
      <t xml:space="preserve">GB200 NVL72 </t>
    </r>
    <r>
      <rPr>
        <sz val="9"/>
        <color rgb="FF666666"/>
        <rFont val="Noto Sans CJK SC"/>
        <family val="2"/>
      </rPr>
      <t>기반</t>
    </r>
    <r>
      <rPr>
        <sz val="9"/>
        <color rgb="FF666666"/>
        <rFont val="Arial"/>
        <charset val="1"/>
      </rPr>
      <t>. GCP a4</t>
    </r>
    <r>
      <rPr>
        <sz val="9"/>
        <color rgb="FF666666"/>
        <rFont val="Noto Sans CJK SC"/>
        <family val="2"/>
      </rPr>
      <t xml:space="preserve">는 </t>
    </r>
    <r>
      <rPr>
        <sz val="9"/>
        <color rgb="FF666666"/>
        <rFont val="Arial"/>
        <charset val="1"/>
      </rPr>
      <t xml:space="preserve">B200 </t>
    </r>
    <r>
      <rPr>
        <sz val="9"/>
        <color rgb="FF666666"/>
        <rFont val="Noto Sans CJK SC"/>
        <family val="2"/>
      </rPr>
      <t>단독 제공</t>
    </r>
  </si>
  <si>
    <r>
      <rPr>
        <sz val="9"/>
        <color rgb="FF666666"/>
        <rFont val="Arial"/>
        <charset val="1"/>
      </rPr>
      <t>8. FP16 Tensor TFLOPS</t>
    </r>
    <r>
      <rPr>
        <sz val="9"/>
        <color rgb="FF666666"/>
        <rFont val="Noto Sans CJK SC"/>
        <family val="2"/>
      </rPr>
      <t xml:space="preserve">는 모든 시트에서 </t>
    </r>
    <r>
      <rPr>
        <sz val="9"/>
        <color rgb="FF666666"/>
        <rFont val="Arial"/>
        <charset val="1"/>
      </rPr>
      <t>Dense(</t>
    </r>
    <r>
      <rPr>
        <sz val="9"/>
        <color rgb="FF666666"/>
        <rFont val="Noto Sans CJK SC"/>
        <family val="2"/>
      </rPr>
      <t>비희소</t>
    </r>
    <r>
      <rPr>
        <sz val="9"/>
        <color rgb="FF666666"/>
        <rFont val="Arial"/>
        <charset val="1"/>
      </rPr>
      <t xml:space="preserve">)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Arial"/>
        <charset val="1"/>
      </rPr>
      <t xml:space="preserve">. Sparsity </t>
    </r>
    <r>
      <rPr>
        <sz val="9"/>
        <color rgb="FF666666"/>
        <rFont val="Noto Sans CJK SC"/>
        <family val="2"/>
      </rPr>
      <t xml:space="preserve">적용 시 약 </t>
    </r>
    <r>
      <rPr>
        <sz val="9"/>
        <color rgb="FF666666"/>
        <rFont val="Arial"/>
        <charset val="1"/>
      </rPr>
      <t>2</t>
    </r>
    <r>
      <rPr>
        <sz val="9"/>
        <color rgb="FF666666"/>
        <rFont val="Noto Sans CJK SC"/>
        <family val="2"/>
      </rPr>
      <t>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</si>
</sst>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charset val="1"/>
    </font>
    <font>
      <b/>
      <sz val="10"/>
      <color rgb="FFFFFFFF"/>
      <name val="Noto Sans CJK SC"/>
      <family val="2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0"/>
      <name val="Noto Sans CJK SC"/>
      <family val="2"/>
    </font>
    <font>
      <sz val="10"/>
      <name val="Consolas"/>
      <charset val="1"/>
    </font>
    <font>
      <sz val="10"/>
      <name val="Arial"/>
      <charset val="1"/>
    </font>
    <font>
      <sz val="10"/>
      <name val="Noto Sans CJK SC"/>
      <family val="2"/>
    </font>
    <font>
      <b/>
      <sz val="10"/>
      <name val="Consolas"/>
      <charset val="1"/>
    </font>
    <font>
      <sz val="9"/>
      <color rgb="FF666666"/>
      <name val="Arial"/>
      <charset val="1"/>
    </font>
    <font>
      <sz val="9"/>
      <color rgb="FF666666"/>
      <name val="Noto Sans CJK SC"/>
      <family val="2"/>
    </font>
    <font>
      <b/>
      <sz val="11"/>
      <color rgb="FFFFFFFF"/>
      <name val="Noto Sans CJK SC"/>
      <family val="2"/>
      <charset val="1"/>
    </font>
    <font>
      <b/>
      <sz val="11"/>
      <color rgb="FFFFFFFF"/>
      <name val="Arial"/>
      <charset val="1"/>
    </font>
    <font>
      <b/>
      <sz val="11"/>
      <color rgb="FFFFFFFF"/>
      <name val="Noto Sans CJK SC"/>
      <family val="2"/>
    </font>
    <font>
      <b/>
      <sz val="10"/>
      <name val="Noto Sans CJK SC"/>
      <family val="2"/>
      <charset val="1"/>
    </font>
    <font>
      <sz val="10"/>
      <name val="Noto Sans CJK SC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2F3"/>
        <bgColor rgb="FFE2D9F3"/>
      </patternFill>
    </fill>
    <fill>
      <patternFill patternType="solid">
        <fgColor rgb="FFE2D9F3"/>
        <bgColor rgb="FFD9E2F3"/>
      </patternFill>
    </fill>
    <fill>
      <patternFill patternType="solid">
        <fgColor rgb="FFFFEB9C"/>
        <bgColor rgb="FFFFF2CC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/>
    </xf>
    <xf numFmtId="0" fontId="15" fillId="11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E2D9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CE4D6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zoomScaleNormal="100"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8.7109375" defaultRowHeight="15"/>
  <cols>
    <col min="1" max="1" width="12" customWidth="1"/>
    <col min="2" max="2" width="14" customWidth="1"/>
    <col min="3" max="3" width="22" customWidth="1"/>
    <col min="4" max="4" width="16" customWidth="1"/>
    <col min="5" max="5" width="14" customWidth="1"/>
    <col min="6" max="9" width="10" customWidth="1"/>
    <col min="10" max="10" width="12" customWidth="1"/>
    <col min="11" max="11" width="14" customWidth="1"/>
    <col min="12" max="12" width="8" customWidth="1"/>
    <col min="13" max="13" width="12" customWidth="1"/>
    <col min="14" max="14" width="8" customWidth="1"/>
    <col min="15" max="15" width="10" customWidth="1"/>
    <col min="16" max="16" width="22" customWidth="1"/>
    <col min="17" max="18" width="10" customWidth="1"/>
    <col min="19" max="19" width="22" customWidth="1"/>
    <col min="20" max="20" width="8" customWidth="1"/>
  </cols>
  <sheetData>
    <row r="1" spans="1:20" ht="24.75" customHeight="1">
      <c r="A1" s="2" t="s">
        <v>0</v>
      </c>
      <c r="B1" s="2"/>
      <c r="C1" s="2"/>
      <c r="D1" s="1" t="s">
        <v>1</v>
      </c>
      <c r="E1" s="1"/>
      <c r="F1" s="1"/>
      <c r="G1" s="1"/>
      <c r="H1" s="1"/>
      <c r="I1" s="1"/>
      <c r="J1" s="1"/>
      <c r="K1" s="1"/>
      <c r="L1" s="2" t="s">
        <v>2</v>
      </c>
      <c r="M1" s="2"/>
      <c r="N1" s="2"/>
      <c r="O1" s="2"/>
      <c r="P1" s="2"/>
      <c r="Q1" s="2"/>
      <c r="R1" s="2"/>
      <c r="S1" s="2" t="s">
        <v>3</v>
      </c>
      <c r="T1" s="2"/>
    </row>
    <row r="2" spans="1:20" ht="49.5" customHeight="1">
      <c r="A2" s="3" t="s">
        <v>4</v>
      </c>
      <c r="B2" s="3" t="s">
        <v>5</v>
      </c>
      <c r="C2" s="3" t="s">
        <v>6</v>
      </c>
      <c r="D2" s="4" t="s">
        <v>7</v>
      </c>
      <c r="E2" s="5" t="s">
        <v>8</v>
      </c>
      <c r="F2" s="4" t="s">
        <v>9</v>
      </c>
      <c r="G2" s="4" t="s">
        <v>10</v>
      </c>
      <c r="H2" s="4" t="s">
        <v>11</v>
      </c>
      <c r="I2" s="5" t="s">
        <v>12</v>
      </c>
      <c r="J2" s="5" t="s">
        <v>13</v>
      </c>
      <c r="K2" s="4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3" t="s">
        <v>20</v>
      </c>
      <c r="R2" s="6" t="s">
        <v>21</v>
      </c>
      <c r="S2" s="3" t="s">
        <v>22</v>
      </c>
      <c r="T2" s="3" t="s">
        <v>23</v>
      </c>
    </row>
    <row r="3" spans="1:20" ht="29.85">
      <c r="A3" s="7" t="s">
        <v>24</v>
      </c>
      <c r="B3" s="8" t="s">
        <v>25</v>
      </c>
      <c r="C3" s="9" t="s">
        <v>26</v>
      </c>
      <c r="D3" s="10" t="s">
        <v>27</v>
      </c>
      <c r="E3" s="10" t="s">
        <v>28</v>
      </c>
      <c r="F3" s="10">
        <v>2560</v>
      </c>
      <c r="G3" s="10">
        <v>320</v>
      </c>
      <c r="H3" s="10">
        <v>16</v>
      </c>
      <c r="I3" s="10" t="s">
        <v>29</v>
      </c>
      <c r="J3" s="10">
        <v>320</v>
      </c>
      <c r="K3" s="10">
        <v>65</v>
      </c>
      <c r="L3" s="10">
        <v>1</v>
      </c>
      <c r="M3" s="10">
        <v>16</v>
      </c>
      <c r="N3" s="10">
        <v>4</v>
      </c>
      <c r="O3" s="10">
        <v>16</v>
      </c>
      <c r="P3" s="11" t="s">
        <v>30</v>
      </c>
      <c r="Q3" s="12" t="s">
        <v>31</v>
      </c>
      <c r="R3" s="10" t="s">
        <v>32</v>
      </c>
      <c r="S3" s="13" t="s">
        <v>33</v>
      </c>
      <c r="T3" s="14" t="s">
        <v>34</v>
      </c>
    </row>
    <row r="4" spans="1:20">
      <c r="A4" s="8"/>
      <c r="B4" s="10"/>
      <c r="C4" s="9" t="s">
        <v>35</v>
      </c>
      <c r="D4" s="10"/>
      <c r="E4" s="10"/>
      <c r="F4" s="10"/>
      <c r="G4" s="10"/>
      <c r="H4" s="10"/>
      <c r="I4" s="10"/>
      <c r="J4" s="10"/>
      <c r="K4" s="10"/>
      <c r="L4" s="10">
        <v>1</v>
      </c>
      <c r="M4" s="10">
        <v>16</v>
      </c>
      <c r="N4" s="10">
        <v>8</v>
      </c>
      <c r="O4" s="10">
        <v>32</v>
      </c>
      <c r="P4" s="11" t="s">
        <v>30</v>
      </c>
      <c r="Q4" s="12" t="s">
        <v>31</v>
      </c>
      <c r="R4" s="10" t="s">
        <v>36</v>
      </c>
      <c r="S4" s="13" t="s">
        <v>37</v>
      </c>
      <c r="T4" s="14" t="s">
        <v>34</v>
      </c>
    </row>
    <row r="5" spans="1:20">
      <c r="A5" s="8"/>
      <c r="B5" s="10"/>
      <c r="C5" s="9" t="s">
        <v>38</v>
      </c>
      <c r="D5" s="10"/>
      <c r="E5" s="10"/>
      <c r="F5" s="10"/>
      <c r="G5" s="10"/>
      <c r="H5" s="10"/>
      <c r="I5" s="10"/>
      <c r="J5" s="10"/>
      <c r="K5" s="10"/>
      <c r="L5" s="10">
        <v>1</v>
      </c>
      <c r="M5" s="10">
        <v>16</v>
      </c>
      <c r="N5" s="10">
        <v>16</v>
      </c>
      <c r="O5" s="10">
        <v>64</v>
      </c>
      <c r="P5" s="11" t="s">
        <v>30</v>
      </c>
      <c r="Q5" s="12" t="s">
        <v>31</v>
      </c>
      <c r="R5" s="10" t="s">
        <v>36</v>
      </c>
      <c r="S5" s="13" t="s">
        <v>39</v>
      </c>
      <c r="T5" s="14" t="s">
        <v>34</v>
      </c>
    </row>
    <row r="6" spans="1:20">
      <c r="A6" s="8"/>
      <c r="B6" s="10"/>
      <c r="C6" s="9" t="s">
        <v>40</v>
      </c>
      <c r="D6" s="10"/>
      <c r="E6" s="10"/>
      <c r="F6" s="10"/>
      <c r="G6" s="10"/>
      <c r="H6" s="10"/>
      <c r="I6" s="10"/>
      <c r="J6" s="10"/>
      <c r="K6" s="10"/>
      <c r="L6" s="10">
        <v>1</v>
      </c>
      <c r="M6" s="10">
        <v>16</v>
      </c>
      <c r="N6" s="10">
        <v>32</v>
      </c>
      <c r="O6" s="10">
        <v>128</v>
      </c>
      <c r="P6" s="11" t="s">
        <v>30</v>
      </c>
      <c r="Q6" s="10" t="s">
        <v>41</v>
      </c>
      <c r="R6" s="10" t="s">
        <v>42</v>
      </c>
      <c r="S6" s="13" t="s">
        <v>43</v>
      </c>
      <c r="T6" s="14" t="s">
        <v>34</v>
      </c>
    </row>
    <row r="7" spans="1:20">
      <c r="A7" s="8"/>
      <c r="B7" s="10"/>
      <c r="C7" s="9" t="s">
        <v>44</v>
      </c>
      <c r="D7" s="10"/>
      <c r="E7" s="10"/>
      <c r="F7" s="10"/>
      <c r="G7" s="10"/>
      <c r="H7" s="10"/>
      <c r="I7" s="10"/>
      <c r="J7" s="10"/>
      <c r="K7" s="10"/>
      <c r="L7" s="10">
        <v>4</v>
      </c>
      <c r="M7" s="10">
        <v>64</v>
      </c>
      <c r="N7" s="10">
        <v>48</v>
      </c>
      <c r="O7" s="10">
        <v>192</v>
      </c>
      <c r="P7" s="11" t="s">
        <v>30</v>
      </c>
      <c r="Q7" s="10" t="s">
        <v>41</v>
      </c>
      <c r="R7" s="10" t="s">
        <v>42</v>
      </c>
      <c r="S7" s="13" t="s">
        <v>45</v>
      </c>
      <c r="T7" s="14" t="s">
        <v>34</v>
      </c>
    </row>
    <row r="8" spans="1:20">
      <c r="A8" s="8"/>
      <c r="B8" s="10"/>
      <c r="C8" s="9" t="s">
        <v>46</v>
      </c>
      <c r="D8" s="10"/>
      <c r="E8" s="10"/>
      <c r="F8" s="10"/>
      <c r="G8" s="10"/>
      <c r="H8" s="10"/>
      <c r="I8" s="10"/>
      <c r="J8" s="10"/>
      <c r="K8" s="10"/>
      <c r="L8" s="10">
        <v>1</v>
      </c>
      <c r="M8" s="10">
        <v>16</v>
      </c>
      <c r="N8" s="10">
        <v>64</v>
      </c>
      <c r="O8" s="10">
        <v>256</v>
      </c>
      <c r="P8" s="11" t="s">
        <v>30</v>
      </c>
      <c r="Q8" s="10" t="s">
        <v>41</v>
      </c>
      <c r="R8" s="10" t="s">
        <v>42</v>
      </c>
      <c r="S8" s="13" t="s">
        <v>47</v>
      </c>
      <c r="T8" s="14" t="s">
        <v>34</v>
      </c>
    </row>
    <row r="9" spans="1:20">
      <c r="A9" s="8"/>
      <c r="B9" s="10"/>
      <c r="C9" s="9" t="s">
        <v>48</v>
      </c>
      <c r="D9" s="10"/>
      <c r="E9" s="10"/>
      <c r="F9" s="10"/>
      <c r="G9" s="10"/>
      <c r="H9" s="10"/>
      <c r="I9" s="10"/>
      <c r="J9" s="10"/>
      <c r="K9" s="10"/>
      <c r="L9" s="10">
        <v>8</v>
      </c>
      <c r="M9" s="10">
        <v>128</v>
      </c>
      <c r="N9" s="10">
        <v>96</v>
      </c>
      <c r="O9" s="10">
        <v>384</v>
      </c>
      <c r="P9" s="11" t="s">
        <v>30</v>
      </c>
      <c r="Q9" s="10" t="s">
        <v>49</v>
      </c>
      <c r="R9" s="10" t="s">
        <v>50</v>
      </c>
      <c r="S9" s="13" t="s">
        <v>51</v>
      </c>
      <c r="T9" s="14" t="s">
        <v>34</v>
      </c>
    </row>
    <row r="10" spans="1:20" ht="29.85">
      <c r="A10" s="7" t="s">
        <v>24</v>
      </c>
      <c r="B10" s="8" t="s">
        <v>52</v>
      </c>
      <c r="C10" s="9" t="s">
        <v>53</v>
      </c>
      <c r="D10" s="10" t="s">
        <v>54</v>
      </c>
      <c r="E10" s="10" t="s">
        <v>55</v>
      </c>
      <c r="F10" s="10">
        <v>9216</v>
      </c>
      <c r="G10" s="10">
        <v>288</v>
      </c>
      <c r="H10" s="10">
        <v>24</v>
      </c>
      <c r="I10" s="10" t="s">
        <v>29</v>
      </c>
      <c r="J10" s="10">
        <v>600</v>
      </c>
      <c r="K10" s="10">
        <v>125</v>
      </c>
      <c r="L10" s="10">
        <v>1</v>
      </c>
      <c r="M10" s="10">
        <v>24</v>
      </c>
      <c r="N10" s="10">
        <v>4</v>
      </c>
      <c r="O10" s="10">
        <v>16</v>
      </c>
      <c r="P10" s="11" t="s">
        <v>56</v>
      </c>
      <c r="Q10" s="12" t="s">
        <v>31</v>
      </c>
      <c r="R10" s="10" t="s">
        <v>57</v>
      </c>
      <c r="S10" s="13" t="s">
        <v>43</v>
      </c>
      <c r="T10" s="14" t="s">
        <v>34</v>
      </c>
    </row>
    <row r="11" spans="1:20">
      <c r="A11" s="8"/>
      <c r="B11" s="10"/>
      <c r="C11" s="9" t="s">
        <v>58</v>
      </c>
      <c r="D11" s="10"/>
      <c r="E11" s="10"/>
      <c r="F11" s="10"/>
      <c r="G11" s="10"/>
      <c r="H11" s="10"/>
      <c r="I11" s="10"/>
      <c r="J11" s="10"/>
      <c r="K11" s="10"/>
      <c r="L11" s="10">
        <v>1</v>
      </c>
      <c r="M11" s="10">
        <v>24</v>
      </c>
      <c r="N11" s="10">
        <v>8</v>
      </c>
      <c r="O11" s="10">
        <v>32</v>
      </c>
      <c r="P11" s="11" t="s">
        <v>56</v>
      </c>
      <c r="Q11" s="12" t="s">
        <v>31</v>
      </c>
      <c r="R11" s="10" t="s">
        <v>59</v>
      </c>
      <c r="S11" s="13" t="s">
        <v>60</v>
      </c>
      <c r="T11" s="14" t="s">
        <v>34</v>
      </c>
    </row>
    <row r="12" spans="1:20">
      <c r="A12" s="8"/>
      <c r="B12" s="10"/>
      <c r="C12" s="9" t="s">
        <v>61</v>
      </c>
      <c r="D12" s="10"/>
      <c r="E12" s="10"/>
      <c r="F12" s="10"/>
      <c r="G12" s="10"/>
      <c r="H12" s="10"/>
      <c r="I12" s="10"/>
      <c r="J12" s="10"/>
      <c r="K12" s="10"/>
      <c r="L12" s="10">
        <v>1</v>
      </c>
      <c r="M12" s="10">
        <v>24</v>
      </c>
      <c r="N12" s="10">
        <v>16</v>
      </c>
      <c r="O12" s="10">
        <v>64</v>
      </c>
      <c r="P12" s="11" t="s">
        <v>56</v>
      </c>
      <c r="Q12" s="12" t="s">
        <v>31</v>
      </c>
      <c r="R12" s="10" t="s">
        <v>62</v>
      </c>
      <c r="S12" s="13" t="s">
        <v>37</v>
      </c>
      <c r="T12" s="14" t="s">
        <v>34</v>
      </c>
    </row>
    <row r="13" spans="1:20">
      <c r="A13" s="8"/>
      <c r="B13" s="10"/>
      <c r="C13" s="9" t="s">
        <v>63</v>
      </c>
      <c r="D13" s="10"/>
      <c r="E13" s="10"/>
      <c r="F13" s="10"/>
      <c r="G13" s="10"/>
      <c r="H13" s="10"/>
      <c r="I13" s="10"/>
      <c r="J13" s="10"/>
      <c r="K13" s="10"/>
      <c r="L13" s="10">
        <v>1</v>
      </c>
      <c r="M13" s="10">
        <v>24</v>
      </c>
      <c r="N13" s="10">
        <v>32</v>
      </c>
      <c r="O13" s="10">
        <v>128</v>
      </c>
      <c r="P13" s="11" t="s">
        <v>56</v>
      </c>
      <c r="Q13" s="10" t="s">
        <v>64</v>
      </c>
      <c r="R13" s="10" t="s">
        <v>42</v>
      </c>
      <c r="S13" s="13" t="s">
        <v>43</v>
      </c>
      <c r="T13" s="14" t="s">
        <v>34</v>
      </c>
    </row>
    <row r="14" spans="1:20">
      <c r="A14" s="8"/>
      <c r="B14" s="10"/>
      <c r="C14" s="9" t="s">
        <v>65</v>
      </c>
      <c r="D14" s="10"/>
      <c r="E14" s="10"/>
      <c r="F14" s="10"/>
      <c r="G14" s="10"/>
      <c r="H14" s="10"/>
      <c r="I14" s="10"/>
      <c r="J14" s="10"/>
      <c r="K14" s="10"/>
      <c r="L14" s="10">
        <v>4</v>
      </c>
      <c r="M14" s="10">
        <v>96</v>
      </c>
      <c r="N14" s="10">
        <v>48</v>
      </c>
      <c r="O14" s="10">
        <v>192</v>
      </c>
      <c r="P14" s="11" t="s">
        <v>56</v>
      </c>
      <c r="Q14" s="10" t="s">
        <v>66</v>
      </c>
      <c r="R14" s="10" t="s">
        <v>67</v>
      </c>
      <c r="S14" s="13" t="s">
        <v>45</v>
      </c>
      <c r="T14" s="14" t="s">
        <v>34</v>
      </c>
    </row>
    <row r="15" spans="1:20">
      <c r="A15" s="8"/>
      <c r="B15" s="10"/>
      <c r="C15" s="9" t="s">
        <v>68</v>
      </c>
      <c r="D15" s="10"/>
      <c r="E15" s="10"/>
      <c r="F15" s="10"/>
      <c r="G15" s="10"/>
      <c r="H15" s="10"/>
      <c r="I15" s="10"/>
      <c r="J15" s="10"/>
      <c r="K15" s="10"/>
      <c r="L15" s="10">
        <v>1</v>
      </c>
      <c r="M15" s="10">
        <v>24</v>
      </c>
      <c r="N15" s="10">
        <v>64</v>
      </c>
      <c r="O15" s="10">
        <v>256</v>
      </c>
      <c r="P15" s="11" t="s">
        <v>56</v>
      </c>
      <c r="Q15" s="10" t="s">
        <v>64</v>
      </c>
      <c r="R15" s="10" t="s">
        <v>69</v>
      </c>
      <c r="S15" s="13" t="s">
        <v>47</v>
      </c>
      <c r="T15" s="14" t="s">
        <v>34</v>
      </c>
    </row>
    <row r="16" spans="1:20">
      <c r="A16" s="8"/>
      <c r="B16" s="10"/>
      <c r="C16" s="9" t="s">
        <v>70</v>
      </c>
      <c r="D16" s="10"/>
      <c r="E16" s="10"/>
      <c r="F16" s="10"/>
      <c r="G16" s="10"/>
      <c r="H16" s="10"/>
      <c r="I16" s="10"/>
      <c r="J16" s="10"/>
      <c r="K16" s="10"/>
      <c r="L16" s="10">
        <v>4</v>
      </c>
      <c r="M16" s="10">
        <v>96</v>
      </c>
      <c r="N16" s="10">
        <v>96</v>
      </c>
      <c r="O16" s="10">
        <v>384</v>
      </c>
      <c r="P16" s="11" t="s">
        <v>56</v>
      </c>
      <c r="Q16" s="10" t="s">
        <v>41</v>
      </c>
      <c r="R16" s="10" t="s">
        <v>67</v>
      </c>
      <c r="S16" s="13" t="s">
        <v>45</v>
      </c>
      <c r="T16" s="14" t="s">
        <v>34</v>
      </c>
    </row>
    <row r="17" spans="1:20">
      <c r="A17" s="8"/>
      <c r="B17" s="10"/>
      <c r="C17" s="9" t="s">
        <v>71</v>
      </c>
      <c r="D17" s="10"/>
      <c r="E17" s="10"/>
      <c r="F17" s="10"/>
      <c r="G17" s="10"/>
      <c r="H17" s="10"/>
      <c r="I17" s="10"/>
      <c r="J17" s="10"/>
      <c r="K17" s="10"/>
      <c r="L17" s="10">
        <v>8</v>
      </c>
      <c r="M17" s="10">
        <v>192</v>
      </c>
      <c r="N17" s="10">
        <v>192</v>
      </c>
      <c r="O17" s="10">
        <v>768</v>
      </c>
      <c r="P17" s="11" t="s">
        <v>56</v>
      </c>
      <c r="Q17" s="10" t="s">
        <v>49</v>
      </c>
      <c r="R17" s="10" t="s">
        <v>72</v>
      </c>
      <c r="S17" s="13" t="s">
        <v>73</v>
      </c>
      <c r="T17" s="14" t="s">
        <v>34</v>
      </c>
    </row>
    <row r="18" spans="1:20" ht="29.85">
      <c r="A18" s="7" t="s">
        <v>24</v>
      </c>
      <c r="B18" s="8" t="s">
        <v>74</v>
      </c>
      <c r="C18" s="9" t="s">
        <v>75</v>
      </c>
      <c r="D18" s="10" t="s">
        <v>76</v>
      </c>
      <c r="E18" s="10" t="s">
        <v>77</v>
      </c>
      <c r="F18" s="10">
        <v>7680</v>
      </c>
      <c r="G18" s="10">
        <v>240</v>
      </c>
      <c r="H18" s="10">
        <v>24</v>
      </c>
      <c r="I18" s="10" t="s">
        <v>29</v>
      </c>
      <c r="J18" s="10">
        <v>300</v>
      </c>
      <c r="K18" s="10">
        <v>121</v>
      </c>
      <c r="L18" s="10">
        <v>1</v>
      </c>
      <c r="M18" s="10">
        <v>24</v>
      </c>
      <c r="N18" s="10">
        <v>4</v>
      </c>
      <c r="O18" s="10">
        <v>16</v>
      </c>
      <c r="P18" s="11" t="s">
        <v>78</v>
      </c>
      <c r="Q18" s="12" t="s">
        <v>31</v>
      </c>
      <c r="R18" s="10" t="s">
        <v>57</v>
      </c>
      <c r="S18" s="13" t="s">
        <v>79</v>
      </c>
      <c r="T18" s="14" t="s">
        <v>34</v>
      </c>
    </row>
    <row r="19" spans="1:20">
      <c r="A19" s="8"/>
      <c r="B19" s="10"/>
      <c r="C19" s="9" t="s">
        <v>80</v>
      </c>
      <c r="D19" s="10"/>
      <c r="E19" s="10"/>
      <c r="F19" s="10"/>
      <c r="G19" s="10"/>
      <c r="H19" s="10"/>
      <c r="I19" s="10"/>
      <c r="J19" s="10"/>
      <c r="K19" s="10"/>
      <c r="L19" s="10">
        <v>1</v>
      </c>
      <c r="M19" s="10">
        <v>24</v>
      </c>
      <c r="N19" s="10">
        <v>8</v>
      </c>
      <c r="O19" s="10">
        <v>32</v>
      </c>
      <c r="P19" s="11" t="s">
        <v>78</v>
      </c>
      <c r="Q19" s="12" t="s">
        <v>31</v>
      </c>
      <c r="R19" s="10" t="s">
        <v>59</v>
      </c>
      <c r="S19" s="13" t="s">
        <v>39</v>
      </c>
      <c r="T19" s="14" t="s">
        <v>34</v>
      </c>
    </row>
    <row r="20" spans="1:20">
      <c r="A20" s="8"/>
      <c r="B20" s="10"/>
      <c r="C20" s="9" t="s">
        <v>81</v>
      </c>
      <c r="D20" s="10"/>
      <c r="E20" s="10"/>
      <c r="F20" s="10"/>
      <c r="G20" s="10"/>
      <c r="H20" s="10"/>
      <c r="I20" s="10"/>
      <c r="J20" s="10"/>
      <c r="K20" s="10"/>
      <c r="L20" s="10">
        <v>1</v>
      </c>
      <c r="M20" s="10">
        <v>24</v>
      </c>
      <c r="N20" s="10">
        <v>16</v>
      </c>
      <c r="O20" s="10">
        <v>64</v>
      </c>
      <c r="P20" s="11" t="s">
        <v>78</v>
      </c>
      <c r="Q20" s="12" t="s">
        <v>31</v>
      </c>
      <c r="R20" s="10" t="s">
        <v>62</v>
      </c>
      <c r="S20" s="13" t="s">
        <v>82</v>
      </c>
      <c r="T20" s="14" t="s">
        <v>34</v>
      </c>
    </row>
    <row r="21" spans="1:20">
      <c r="A21" s="8"/>
      <c r="B21" s="10"/>
      <c r="C21" s="9" t="s">
        <v>83</v>
      </c>
      <c r="D21" s="10"/>
      <c r="E21" s="10"/>
      <c r="F21" s="10"/>
      <c r="G21" s="10"/>
      <c r="H21" s="10"/>
      <c r="I21" s="10"/>
      <c r="J21" s="10"/>
      <c r="K21" s="10"/>
      <c r="L21" s="10">
        <v>4</v>
      </c>
      <c r="M21" s="10">
        <v>96</v>
      </c>
      <c r="N21" s="10">
        <v>48</v>
      </c>
      <c r="O21" s="10">
        <v>192</v>
      </c>
      <c r="P21" s="11" t="s">
        <v>78</v>
      </c>
      <c r="Q21" s="10" t="s">
        <v>66</v>
      </c>
      <c r="R21" s="10" t="s">
        <v>67</v>
      </c>
      <c r="S21" s="13" t="s">
        <v>45</v>
      </c>
      <c r="T21" s="14" t="s">
        <v>34</v>
      </c>
    </row>
    <row r="22" spans="1:20">
      <c r="A22" s="8"/>
      <c r="B22" s="10"/>
      <c r="C22" s="9" t="s">
        <v>84</v>
      </c>
      <c r="D22" s="10"/>
      <c r="E22" s="10"/>
      <c r="F22" s="10"/>
      <c r="G22" s="10"/>
      <c r="H22" s="10"/>
      <c r="I22" s="10"/>
      <c r="J22" s="10"/>
      <c r="K22" s="10"/>
      <c r="L22" s="10">
        <v>8</v>
      </c>
      <c r="M22" s="10">
        <v>192</v>
      </c>
      <c r="N22" s="10">
        <v>192</v>
      </c>
      <c r="O22" s="10">
        <v>768</v>
      </c>
      <c r="P22" s="11" t="s">
        <v>78</v>
      </c>
      <c r="Q22" s="10" t="s">
        <v>49</v>
      </c>
      <c r="R22" s="10" t="s">
        <v>72</v>
      </c>
      <c r="S22" s="13" t="s">
        <v>73</v>
      </c>
      <c r="T22" s="14" t="s">
        <v>34</v>
      </c>
    </row>
    <row r="23" spans="1:20" ht="29.85">
      <c r="A23" s="7" t="s">
        <v>24</v>
      </c>
      <c r="B23" s="8" t="s">
        <v>85</v>
      </c>
      <c r="C23" s="9" t="s">
        <v>86</v>
      </c>
      <c r="D23" s="10" t="s">
        <v>87</v>
      </c>
      <c r="E23" s="10" t="s">
        <v>77</v>
      </c>
      <c r="F23" s="10">
        <v>18176</v>
      </c>
      <c r="G23" s="10">
        <v>568</v>
      </c>
      <c r="H23" s="10">
        <v>48</v>
      </c>
      <c r="I23" s="10" t="s">
        <v>29</v>
      </c>
      <c r="J23" s="10">
        <v>864</v>
      </c>
      <c r="K23" s="10">
        <v>362</v>
      </c>
      <c r="L23" s="10">
        <v>1</v>
      </c>
      <c r="M23" s="10">
        <v>48</v>
      </c>
      <c r="N23" s="10">
        <v>4</v>
      </c>
      <c r="O23" s="10">
        <v>32</v>
      </c>
      <c r="P23" s="11" t="s">
        <v>78</v>
      </c>
      <c r="Q23" s="12" t="s">
        <v>31</v>
      </c>
      <c r="R23" s="10" t="s">
        <v>57</v>
      </c>
      <c r="S23" s="13" t="s">
        <v>88</v>
      </c>
      <c r="T23" s="15" t="s">
        <v>89</v>
      </c>
    </row>
    <row r="24" spans="1:20">
      <c r="A24" s="8"/>
      <c r="B24" s="10"/>
      <c r="C24" s="9" t="s">
        <v>90</v>
      </c>
      <c r="D24" s="10"/>
      <c r="E24" s="10"/>
      <c r="F24" s="10"/>
      <c r="G24" s="10"/>
      <c r="H24" s="10"/>
      <c r="I24" s="10"/>
      <c r="J24" s="10"/>
      <c r="K24" s="10"/>
      <c r="L24" s="10">
        <v>1</v>
      </c>
      <c r="M24" s="10">
        <v>48</v>
      </c>
      <c r="N24" s="10">
        <v>8</v>
      </c>
      <c r="O24" s="10">
        <v>64</v>
      </c>
      <c r="P24" s="11" t="s">
        <v>78</v>
      </c>
      <c r="Q24" s="12" t="s">
        <v>31</v>
      </c>
      <c r="R24" s="10" t="s">
        <v>59</v>
      </c>
      <c r="S24" s="11" t="s">
        <v>91</v>
      </c>
      <c r="T24" s="15" t="s">
        <v>89</v>
      </c>
    </row>
    <row r="25" spans="1:20">
      <c r="A25" s="8"/>
      <c r="B25" s="10"/>
      <c r="C25" s="9" t="s">
        <v>92</v>
      </c>
      <c r="D25" s="10"/>
      <c r="E25" s="10"/>
      <c r="F25" s="10"/>
      <c r="G25" s="10"/>
      <c r="H25" s="10"/>
      <c r="I25" s="10"/>
      <c r="J25" s="10"/>
      <c r="K25" s="10"/>
      <c r="L25" s="10">
        <v>1</v>
      </c>
      <c r="M25" s="10">
        <v>48</v>
      </c>
      <c r="N25" s="10">
        <v>16</v>
      </c>
      <c r="O25" s="10">
        <v>128</v>
      </c>
      <c r="P25" s="11" t="s">
        <v>78</v>
      </c>
      <c r="Q25" s="12" t="s">
        <v>31</v>
      </c>
      <c r="R25" s="10" t="s">
        <v>62</v>
      </c>
      <c r="S25" s="13" t="s">
        <v>93</v>
      </c>
      <c r="T25" s="15" t="s">
        <v>89</v>
      </c>
    </row>
    <row r="26" spans="1:20">
      <c r="A26" s="8"/>
      <c r="B26" s="10"/>
      <c r="C26" s="9" t="s">
        <v>94</v>
      </c>
      <c r="D26" s="10"/>
      <c r="E26" s="10"/>
      <c r="F26" s="10"/>
      <c r="G26" s="10"/>
      <c r="H26" s="10"/>
      <c r="I26" s="10"/>
      <c r="J26" s="10"/>
      <c r="K26" s="10"/>
      <c r="L26" s="10">
        <v>4</v>
      </c>
      <c r="M26" s="10">
        <v>192</v>
      </c>
      <c r="N26" s="10">
        <v>48</v>
      </c>
      <c r="O26" s="10">
        <v>384</v>
      </c>
      <c r="P26" s="11" t="s">
        <v>78</v>
      </c>
      <c r="Q26" s="10" t="s">
        <v>66</v>
      </c>
      <c r="R26" s="10" t="s">
        <v>67</v>
      </c>
      <c r="S26" s="13" t="s">
        <v>95</v>
      </c>
      <c r="T26" s="15" t="s">
        <v>89</v>
      </c>
    </row>
    <row r="27" spans="1:20">
      <c r="A27" s="8"/>
      <c r="B27" s="10"/>
      <c r="C27" s="9" t="s">
        <v>96</v>
      </c>
      <c r="D27" s="10"/>
      <c r="E27" s="10"/>
      <c r="F27" s="10"/>
      <c r="G27" s="10"/>
      <c r="H27" s="10"/>
      <c r="I27" s="10"/>
      <c r="J27" s="10"/>
      <c r="K27" s="10"/>
      <c r="L27" s="10">
        <v>8</v>
      </c>
      <c r="M27" s="10">
        <v>384</v>
      </c>
      <c r="N27" s="10">
        <v>192</v>
      </c>
      <c r="O27" s="10">
        <v>1536</v>
      </c>
      <c r="P27" s="11" t="s">
        <v>78</v>
      </c>
      <c r="Q27" s="10" t="s">
        <v>97</v>
      </c>
      <c r="R27" s="10" t="s">
        <v>72</v>
      </c>
      <c r="S27" s="13" t="s">
        <v>98</v>
      </c>
      <c r="T27" s="15" t="s">
        <v>89</v>
      </c>
    </row>
    <row r="28" spans="1:20" ht="29.85">
      <c r="A28" s="7" t="s">
        <v>24</v>
      </c>
      <c r="B28" s="16" t="s">
        <v>99</v>
      </c>
      <c r="C28" s="17" t="s">
        <v>100</v>
      </c>
      <c r="D28" s="10" t="s">
        <v>101</v>
      </c>
      <c r="E28" s="10" t="s">
        <v>102</v>
      </c>
      <c r="F28" s="10">
        <v>24064</v>
      </c>
      <c r="G28" s="10">
        <v>752</v>
      </c>
      <c r="H28" s="10">
        <v>96</v>
      </c>
      <c r="I28" s="10" t="s">
        <v>103</v>
      </c>
      <c r="J28" s="10">
        <v>1792</v>
      </c>
      <c r="K28" s="10">
        <v>504</v>
      </c>
      <c r="L28" s="10">
        <v>1</v>
      </c>
      <c r="M28" s="10">
        <v>96</v>
      </c>
      <c r="N28" s="10">
        <v>8</v>
      </c>
      <c r="O28" s="10">
        <v>64</v>
      </c>
      <c r="P28" s="11" t="s">
        <v>104</v>
      </c>
      <c r="Q28" s="12" t="s">
        <v>31</v>
      </c>
      <c r="R28" s="10" t="s">
        <v>57</v>
      </c>
      <c r="S28" s="13" t="s">
        <v>88</v>
      </c>
      <c r="T28" s="18" t="s">
        <v>105</v>
      </c>
    </row>
    <row r="29" spans="1:20">
      <c r="A29" s="8"/>
      <c r="B29" s="10"/>
      <c r="C29" s="17" t="s">
        <v>106</v>
      </c>
      <c r="D29" s="10"/>
      <c r="E29" s="10"/>
      <c r="F29" s="10"/>
      <c r="G29" s="10"/>
      <c r="H29" s="10"/>
      <c r="I29" s="10"/>
      <c r="J29" s="10"/>
      <c r="K29" s="10"/>
      <c r="L29" s="10">
        <v>1</v>
      </c>
      <c r="M29" s="10">
        <v>96</v>
      </c>
      <c r="N29" s="10">
        <v>16</v>
      </c>
      <c r="O29" s="10">
        <v>128</v>
      </c>
      <c r="P29" s="11" t="s">
        <v>104</v>
      </c>
      <c r="Q29" s="12" t="s">
        <v>31</v>
      </c>
      <c r="R29" s="10" t="s">
        <v>107</v>
      </c>
      <c r="S29" s="11" t="s">
        <v>108</v>
      </c>
      <c r="T29" s="18" t="s">
        <v>105</v>
      </c>
    </row>
    <row r="30" spans="1:20">
      <c r="A30" s="8"/>
      <c r="B30" s="10"/>
      <c r="C30" s="17" t="s">
        <v>109</v>
      </c>
      <c r="D30" s="10"/>
      <c r="E30" s="10"/>
      <c r="F30" s="10"/>
      <c r="G30" s="10"/>
      <c r="H30" s="10"/>
      <c r="I30" s="10"/>
      <c r="J30" s="10"/>
      <c r="K30" s="10"/>
      <c r="L30" s="10">
        <v>1</v>
      </c>
      <c r="M30" s="10">
        <v>96</v>
      </c>
      <c r="N30" s="10">
        <v>32</v>
      </c>
      <c r="O30" s="10">
        <v>256</v>
      </c>
      <c r="P30" s="11" t="s">
        <v>104</v>
      </c>
      <c r="Q30" s="12" t="s">
        <v>31</v>
      </c>
      <c r="R30" s="10" t="s">
        <v>69</v>
      </c>
      <c r="S30" s="11" t="s">
        <v>110</v>
      </c>
      <c r="T30" s="18" t="s">
        <v>105</v>
      </c>
    </row>
    <row r="31" spans="1:20">
      <c r="A31" s="8"/>
      <c r="B31" s="10"/>
      <c r="C31" s="17" t="s">
        <v>111</v>
      </c>
      <c r="D31" s="10"/>
      <c r="E31" s="10"/>
      <c r="F31" s="10"/>
      <c r="G31" s="10"/>
      <c r="H31" s="10"/>
      <c r="I31" s="10"/>
      <c r="J31" s="10"/>
      <c r="K31" s="10"/>
      <c r="L31" s="10">
        <v>2</v>
      </c>
      <c r="M31" s="10">
        <v>192</v>
      </c>
      <c r="N31" s="10">
        <v>48</v>
      </c>
      <c r="O31" s="10">
        <v>512</v>
      </c>
      <c r="P31" s="11" t="s">
        <v>104</v>
      </c>
      <c r="Q31" s="10" t="s">
        <v>41</v>
      </c>
      <c r="R31" s="10" t="s">
        <v>67</v>
      </c>
      <c r="S31" s="13" t="s">
        <v>112</v>
      </c>
      <c r="T31" s="18" t="s">
        <v>105</v>
      </c>
    </row>
    <row r="32" spans="1:20">
      <c r="A32" s="8"/>
      <c r="B32" s="10"/>
      <c r="C32" s="17" t="s">
        <v>113</v>
      </c>
      <c r="D32" s="10"/>
      <c r="E32" s="10"/>
      <c r="F32" s="10"/>
      <c r="G32" s="10"/>
      <c r="H32" s="10"/>
      <c r="I32" s="10"/>
      <c r="J32" s="10"/>
      <c r="K32" s="10"/>
      <c r="L32" s="10">
        <v>4</v>
      </c>
      <c r="M32" s="10">
        <v>384</v>
      </c>
      <c r="N32" s="10">
        <v>96</v>
      </c>
      <c r="O32" s="10">
        <v>1024</v>
      </c>
      <c r="P32" s="11" t="s">
        <v>104</v>
      </c>
      <c r="Q32" s="10" t="s">
        <v>97</v>
      </c>
      <c r="R32" s="10" t="s">
        <v>72</v>
      </c>
      <c r="S32" s="13" t="s">
        <v>114</v>
      </c>
      <c r="T32" s="18" t="s">
        <v>105</v>
      </c>
    </row>
    <row r="33" spans="1:20">
      <c r="A33" s="8"/>
      <c r="B33" s="10"/>
      <c r="C33" s="17" t="s">
        <v>115</v>
      </c>
      <c r="D33" s="10"/>
      <c r="E33" s="10"/>
      <c r="F33" s="10"/>
      <c r="G33" s="10"/>
      <c r="H33" s="10"/>
      <c r="I33" s="10"/>
      <c r="J33" s="10"/>
      <c r="K33" s="10"/>
      <c r="L33" s="10">
        <v>8</v>
      </c>
      <c r="M33" s="10">
        <v>768</v>
      </c>
      <c r="N33" s="10">
        <v>192</v>
      </c>
      <c r="O33" s="10">
        <v>2048</v>
      </c>
      <c r="P33" s="11" t="s">
        <v>104</v>
      </c>
      <c r="Q33" s="10" t="s">
        <v>116</v>
      </c>
      <c r="R33" s="10" t="s">
        <v>117</v>
      </c>
      <c r="S33" s="13" t="s">
        <v>118</v>
      </c>
      <c r="T33" s="18" t="s">
        <v>105</v>
      </c>
    </row>
    <row r="34" spans="1:20" ht="29.85">
      <c r="A34" s="19" t="s">
        <v>119</v>
      </c>
      <c r="B34" s="8" t="s">
        <v>120</v>
      </c>
      <c r="C34" s="9" t="s">
        <v>121</v>
      </c>
      <c r="D34" s="10" t="s">
        <v>122</v>
      </c>
      <c r="E34" s="10" t="s">
        <v>55</v>
      </c>
      <c r="F34" s="10">
        <v>6912</v>
      </c>
      <c r="G34" s="10">
        <v>432</v>
      </c>
      <c r="H34" s="10">
        <v>40</v>
      </c>
      <c r="I34" s="10" t="s">
        <v>123</v>
      </c>
      <c r="J34" s="10">
        <v>1555</v>
      </c>
      <c r="K34" s="10">
        <v>312</v>
      </c>
      <c r="L34" s="10">
        <v>8</v>
      </c>
      <c r="M34" s="10">
        <v>320</v>
      </c>
      <c r="N34" s="10">
        <v>96</v>
      </c>
      <c r="O34" s="10">
        <v>1152</v>
      </c>
      <c r="P34" s="11" t="s">
        <v>124</v>
      </c>
      <c r="Q34" s="10" t="s">
        <v>97</v>
      </c>
      <c r="R34" s="10" t="s">
        <v>125</v>
      </c>
      <c r="S34" s="13" t="s">
        <v>126</v>
      </c>
      <c r="T34" s="14" t="s">
        <v>34</v>
      </c>
    </row>
    <row r="35" spans="1:20" ht="29.85">
      <c r="A35" s="19" t="s">
        <v>119</v>
      </c>
      <c r="B35" s="8" t="s">
        <v>127</v>
      </c>
      <c r="C35" s="9" t="s">
        <v>128</v>
      </c>
      <c r="D35" s="10" t="s">
        <v>129</v>
      </c>
      <c r="E35" s="10" t="s">
        <v>55</v>
      </c>
      <c r="F35" s="10">
        <v>6912</v>
      </c>
      <c r="G35" s="10">
        <v>432</v>
      </c>
      <c r="H35" s="10">
        <v>80</v>
      </c>
      <c r="I35" s="10" t="s">
        <v>123</v>
      </c>
      <c r="J35" s="10">
        <v>2039</v>
      </c>
      <c r="K35" s="10">
        <v>312</v>
      </c>
      <c r="L35" s="10">
        <v>8</v>
      </c>
      <c r="M35" s="10">
        <v>640</v>
      </c>
      <c r="N35" s="10">
        <v>96</v>
      </c>
      <c r="O35" s="10">
        <v>1152</v>
      </c>
      <c r="P35" s="11" t="s">
        <v>124</v>
      </c>
      <c r="Q35" s="10" t="s">
        <v>97</v>
      </c>
      <c r="R35" s="10" t="s">
        <v>125</v>
      </c>
      <c r="S35" s="13" t="s">
        <v>130</v>
      </c>
      <c r="T35" s="15" t="s">
        <v>89</v>
      </c>
    </row>
    <row r="36" spans="1:20" ht="29.85">
      <c r="A36" s="19" t="s">
        <v>119</v>
      </c>
      <c r="B36" s="8" t="s">
        <v>131</v>
      </c>
      <c r="C36" s="9" t="s">
        <v>132</v>
      </c>
      <c r="D36" s="10" t="s">
        <v>133</v>
      </c>
      <c r="E36" s="10" t="s">
        <v>134</v>
      </c>
      <c r="F36" s="10">
        <v>14592</v>
      </c>
      <c r="G36" s="10">
        <v>456</v>
      </c>
      <c r="H36" s="10">
        <v>80</v>
      </c>
      <c r="I36" s="10" t="s">
        <v>135</v>
      </c>
      <c r="J36" s="10">
        <v>3350</v>
      </c>
      <c r="K36" s="10">
        <v>990</v>
      </c>
      <c r="L36" s="10">
        <v>1</v>
      </c>
      <c r="M36" s="10">
        <v>80</v>
      </c>
      <c r="N36" s="10">
        <v>16</v>
      </c>
      <c r="O36" s="10">
        <v>128</v>
      </c>
      <c r="P36" s="11" t="s">
        <v>78</v>
      </c>
      <c r="Q36" s="12" t="s">
        <v>31</v>
      </c>
      <c r="R36" s="10" t="s">
        <v>136</v>
      </c>
      <c r="S36" s="13" t="s">
        <v>137</v>
      </c>
      <c r="T36" s="14" t="s">
        <v>34</v>
      </c>
    </row>
    <row r="37" spans="1:20">
      <c r="A37" s="8"/>
      <c r="B37" s="10"/>
      <c r="C37" s="9" t="s">
        <v>138</v>
      </c>
      <c r="D37" s="10"/>
      <c r="E37" s="10"/>
      <c r="F37" s="10"/>
      <c r="G37" s="10"/>
      <c r="H37" s="10"/>
      <c r="I37" s="10"/>
      <c r="J37" s="10"/>
      <c r="K37" s="10"/>
      <c r="L37" s="10">
        <v>8</v>
      </c>
      <c r="M37" s="10">
        <v>640</v>
      </c>
      <c r="N37" s="10">
        <v>192</v>
      </c>
      <c r="O37" s="10">
        <v>2048</v>
      </c>
      <c r="P37" s="11" t="s">
        <v>78</v>
      </c>
      <c r="Q37" s="10" t="s">
        <v>139</v>
      </c>
      <c r="R37" s="10" t="s">
        <v>140</v>
      </c>
      <c r="S37" s="11" t="s">
        <v>141</v>
      </c>
      <c r="T37" s="14" t="s">
        <v>34</v>
      </c>
    </row>
    <row r="38" spans="1:20" ht="29.85">
      <c r="A38" s="19" t="s">
        <v>119</v>
      </c>
      <c r="B38" s="8" t="s">
        <v>142</v>
      </c>
      <c r="C38" s="9" t="s">
        <v>143</v>
      </c>
      <c r="D38" s="10" t="s">
        <v>144</v>
      </c>
      <c r="E38" s="10" t="s">
        <v>134</v>
      </c>
      <c r="F38" s="10">
        <v>14592</v>
      </c>
      <c r="G38" s="10">
        <v>456</v>
      </c>
      <c r="H38" s="10">
        <v>141</v>
      </c>
      <c r="I38" s="10" t="s">
        <v>145</v>
      </c>
      <c r="J38" s="10">
        <v>4800</v>
      </c>
      <c r="K38" s="10">
        <v>990</v>
      </c>
      <c r="L38" s="10">
        <v>8</v>
      </c>
      <c r="M38" s="10">
        <v>1128</v>
      </c>
      <c r="N38" s="10">
        <v>192</v>
      </c>
      <c r="O38" s="10">
        <v>2048</v>
      </c>
      <c r="P38" s="11" t="s">
        <v>78</v>
      </c>
      <c r="Q38" s="10" t="s">
        <v>139</v>
      </c>
      <c r="R38" s="10" t="s">
        <v>140</v>
      </c>
      <c r="S38" s="13" t="s">
        <v>146</v>
      </c>
      <c r="T38" s="15" t="s">
        <v>89</v>
      </c>
    </row>
    <row r="39" spans="1:20" ht="29.85">
      <c r="A39" s="19" t="s">
        <v>119</v>
      </c>
      <c r="B39" s="8" t="s">
        <v>147</v>
      </c>
      <c r="C39" s="9" t="s">
        <v>148</v>
      </c>
      <c r="D39" s="10" t="s">
        <v>149</v>
      </c>
      <c r="E39" s="10" t="s">
        <v>134</v>
      </c>
      <c r="F39" s="10">
        <v>14592</v>
      </c>
      <c r="G39" s="10">
        <v>456</v>
      </c>
      <c r="H39" s="10">
        <v>141</v>
      </c>
      <c r="I39" s="10" t="s">
        <v>145</v>
      </c>
      <c r="J39" s="10">
        <v>4800</v>
      </c>
      <c r="K39" s="10">
        <v>990</v>
      </c>
      <c r="L39" s="10">
        <v>8</v>
      </c>
      <c r="M39" s="10">
        <v>1128</v>
      </c>
      <c r="N39" s="10">
        <v>192</v>
      </c>
      <c r="O39" s="10">
        <v>2048</v>
      </c>
      <c r="P39" s="11" t="s">
        <v>150</v>
      </c>
      <c r="Q39" s="10" t="s">
        <v>139</v>
      </c>
      <c r="R39" s="10" t="s">
        <v>140</v>
      </c>
      <c r="S39" s="13" t="s">
        <v>151</v>
      </c>
      <c r="T39" s="15" t="s">
        <v>89</v>
      </c>
    </row>
    <row r="40" spans="1:20" ht="29.85">
      <c r="A40" s="19" t="s">
        <v>119</v>
      </c>
      <c r="B40" s="16" t="s">
        <v>152</v>
      </c>
      <c r="C40" s="17" t="s">
        <v>153</v>
      </c>
      <c r="D40" s="10" t="s">
        <v>154</v>
      </c>
      <c r="E40" s="10" t="s">
        <v>102</v>
      </c>
      <c r="F40" s="10">
        <v>16896</v>
      </c>
      <c r="G40" s="10">
        <v>528</v>
      </c>
      <c r="H40" s="10">
        <v>180</v>
      </c>
      <c r="I40" s="10" t="s">
        <v>145</v>
      </c>
      <c r="J40" s="10">
        <v>8000</v>
      </c>
      <c r="K40" s="10">
        <v>2250</v>
      </c>
      <c r="L40" s="10">
        <v>8</v>
      </c>
      <c r="M40" s="10">
        <v>1440</v>
      </c>
      <c r="N40" s="10">
        <v>192</v>
      </c>
      <c r="O40" s="10">
        <v>2048</v>
      </c>
      <c r="P40" s="11" t="s">
        <v>104</v>
      </c>
      <c r="Q40" s="10" t="s">
        <v>139</v>
      </c>
      <c r="R40" s="10" t="s">
        <v>136</v>
      </c>
      <c r="S40" s="13" t="s">
        <v>155</v>
      </c>
      <c r="T40" s="18" t="s">
        <v>105</v>
      </c>
    </row>
    <row r="41" spans="1:20" ht="29.85">
      <c r="A41" s="19" t="s">
        <v>119</v>
      </c>
      <c r="B41" s="16" t="s">
        <v>156</v>
      </c>
      <c r="C41" s="17" t="s">
        <v>157</v>
      </c>
      <c r="D41" s="10" t="s">
        <v>158</v>
      </c>
      <c r="E41" s="10" t="s">
        <v>159</v>
      </c>
      <c r="F41" s="10">
        <v>16896</v>
      </c>
      <c r="G41" s="10">
        <v>528</v>
      </c>
      <c r="H41" s="10">
        <v>288</v>
      </c>
      <c r="I41" s="10" t="s">
        <v>145</v>
      </c>
      <c r="J41" s="10">
        <v>12000</v>
      </c>
      <c r="K41" s="10">
        <v>2250</v>
      </c>
      <c r="L41" s="10">
        <v>8</v>
      </c>
      <c r="M41" s="10">
        <v>2304</v>
      </c>
      <c r="N41" s="10">
        <v>192</v>
      </c>
      <c r="O41" s="10">
        <v>2048</v>
      </c>
      <c r="P41" s="11" t="s">
        <v>104</v>
      </c>
      <c r="Q41" s="10" t="s">
        <v>139</v>
      </c>
      <c r="R41" s="10" t="s">
        <v>136</v>
      </c>
      <c r="S41" s="13" t="s">
        <v>160</v>
      </c>
      <c r="T41" s="18" t="s">
        <v>105</v>
      </c>
    </row>
    <row r="42" spans="1:20" ht="29.85">
      <c r="A42" s="19" t="s">
        <v>119</v>
      </c>
      <c r="B42" s="16" t="s">
        <v>161</v>
      </c>
      <c r="C42" s="17" t="s">
        <v>162</v>
      </c>
      <c r="D42" s="10" t="s">
        <v>163</v>
      </c>
      <c r="E42" s="10" t="s">
        <v>102</v>
      </c>
      <c r="F42" s="10">
        <v>16896</v>
      </c>
      <c r="G42" s="10">
        <v>528</v>
      </c>
      <c r="H42" s="10">
        <v>192</v>
      </c>
      <c r="I42" s="10" t="s">
        <v>145</v>
      </c>
      <c r="J42" s="10">
        <v>8000</v>
      </c>
      <c r="K42" s="10">
        <v>2250</v>
      </c>
      <c r="L42" s="10">
        <v>4</v>
      </c>
      <c r="M42" s="10">
        <v>768</v>
      </c>
      <c r="N42" s="10">
        <v>144</v>
      </c>
      <c r="O42" s="10">
        <v>1872</v>
      </c>
      <c r="P42" s="11" t="s">
        <v>164</v>
      </c>
      <c r="Q42" s="10" t="s">
        <v>139</v>
      </c>
      <c r="R42" s="10" t="s">
        <v>136</v>
      </c>
      <c r="S42" s="13" t="s">
        <v>165</v>
      </c>
      <c r="T42" s="18" t="s">
        <v>105</v>
      </c>
    </row>
    <row r="44" spans="1:20">
      <c r="A44" s="20" t="s">
        <v>166</v>
      </c>
    </row>
    <row r="45" spans="1:20" ht="14.1">
      <c r="A45" s="38" t="s">
        <v>167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</row>
    <row r="46" spans="1:20" ht="14.1">
      <c r="A46" s="38" t="s">
        <v>168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</row>
    <row r="47" spans="1:20" ht="14.1">
      <c r="A47" s="38" t="s">
        <v>169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</row>
    <row r="48" spans="1:20" ht="14.1">
      <c r="A48" s="38" t="s">
        <v>170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</row>
    <row r="49" spans="1:20" ht="14.1">
      <c r="A49" s="38" t="s">
        <v>171</v>
      </c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</row>
    <row r="50" spans="1:20" ht="14.1">
      <c r="A50" s="38" t="s">
        <v>172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</row>
    <row r="51" spans="1:20" ht="14.1">
      <c r="A51" s="38" t="s">
        <v>173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</row>
    <row r="52" spans="1:20" ht="14.1">
      <c r="A52" s="38" t="s">
        <v>174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</row>
  </sheetData>
  <autoFilter ref="A2:T43" xr:uid="{00000000-0009-0000-0000-000000000000}"/>
  <mergeCells count="12">
    <mergeCell ref="A51:T51"/>
    <mergeCell ref="A52:T52"/>
    <mergeCell ref="A46:T46"/>
    <mergeCell ref="A47:T47"/>
    <mergeCell ref="A48:T48"/>
    <mergeCell ref="A49:T49"/>
    <mergeCell ref="A50:T50"/>
    <mergeCell ref="A1:C1"/>
    <mergeCell ref="D1:K1"/>
    <mergeCell ref="L1:R1"/>
    <mergeCell ref="S1:T1"/>
    <mergeCell ref="A45:T4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2" customWidth="1"/>
    <col min="2" max="2" width="22" customWidth="1"/>
    <col min="3" max="3" width="15" customWidth="1"/>
    <col min="4" max="4" width="7" customWidth="1"/>
    <col min="5" max="6" width="12" customWidth="1"/>
    <col min="7" max="8" width="10" customWidth="1"/>
    <col min="9" max="9" width="14" customWidth="1"/>
    <col min="10" max="10" width="10" customWidth="1"/>
    <col min="11" max="11" width="14" customWidth="1"/>
    <col min="12" max="13" width="10" customWidth="1"/>
    <col min="14" max="14" width="8" customWidth="1"/>
    <col min="15" max="15" width="10" customWidth="1"/>
    <col min="16" max="16" width="22" customWidth="1"/>
    <col min="17" max="17" width="14" customWidth="1"/>
  </cols>
  <sheetData>
    <row r="1" spans="1:17" ht="39.75" customHeight="1">
      <c r="A1" s="21" t="s">
        <v>4</v>
      </c>
      <c r="B1" s="22" t="s">
        <v>175</v>
      </c>
      <c r="C1" s="21" t="s">
        <v>8</v>
      </c>
      <c r="D1" s="21" t="s">
        <v>176</v>
      </c>
      <c r="E1" s="22" t="s">
        <v>177</v>
      </c>
      <c r="F1" s="22" t="s">
        <v>178</v>
      </c>
      <c r="G1" s="22" t="s">
        <v>179</v>
      </c>
      <c r="H1" s="21" t="s">
        <v>180</v>
      </c>
      <c r="I1" s="21" t="s">
        <v>181</v>
      </c>
      <c r="J1" s="22" t="s">
        <v>182</v>
      </c>
      <c r="K1" s="22" t="s">
        <v>14</v>
      </c>
      <c r="L1" s="22" t="s">
        <v>183</v>
      </c>
      <c r="M1" s="22" t="s">
        <v>184</v>
      </c>
      <c r="N1" s="22" t="s">
        <v>185</v>
      </c>
      <c r="O1" s="21" t="s">
        <v>186</v>
      </c>
      <c r="P1" s="21" t="s">
        <v>22</v>
      </c>
      <c r="Q1" s="21" t="s">
        <v>187</v>
      </c>
    </row>
    <row r="2" spans="1:17" ht="30" customHeight="1">
      <c r="A2" s="23" t="s">
        <v>188</v>
      </c>
      <c r="B2" s="10" t="s">
        <v>189</v>
      </c>
      <c r="C2" s="10" t="s">
        <v>55</v>
      </c>
      <c r="D2" s="10" t="s">
        <v>190</v>
      </c>
      <c r="E2" s="10">
        <v>10496</v>
      </c>
      <c r="F2" s="10">
        <v>328</v>
      </c>
      <c r="G2" s="10">
        <v>24</v>
      </c>
      <c r="H2" s="10" t="s">
        <v>191</v>
      </c>
      <c r="I2" s="10">
        <v>936</v>
      </c>
      <c r="J2" s="10">
        <v>35.6</v>
      </c>
      <c r="K2" s="10">
        <v>142</v>
      </c>
      <c r="L2" s="10">
        <v>350</v>
      </c>
      <c r="M2" s="10" t="s">
        <v>136</v>
      </c>
      <c r="N2" s="10" t="s">
        <v>192</v>
      </c>
      <c r="O2" s="10" t="s">
        <v>193</v>
      </c>
      <c r="P2" s="24" t="s">
        <v>194</v>
      </c>
      <c r="Q2" s="10" t="s">
        <v>195</v>
      </c>
    </row>
    <row r="3" spans="1:17" ht="30" customHeight="1">
      <c r="A3" s="23" t="s">
        <v>188</v>
      </c>
      <c r="B3" s="10" t="s">
        <v>196</v>
      </c>
      <c r="C3" s="10" t="s">
        <v>77</v>
      </c>
      <c r="D3" s="10" t="s">
        <v>197</v>
      </c>
      <c r="E3" s="10">
        <v>16384</v>
      </c>
      <c r="F3" s="10">
        <v>512</v>
      </c>
      <c r="G3" s="10">
        <v>24</v>
      </c>
      <c r="H3" s="10" t="s">
        <v>191</v>
      </c>
      <c r="I3" s="10">
        <v>1008</v>
      </c>
      <c r="J3" s="10">
        <v>82.6</v>
      </c>
      <c r="K3" s="10">
        <v>330</v>
      </c>
      <c r="L3" s="10">
        <v>450</v>
      </c>
      <c r="M3" s="10" t="s">
        <v>136</v>
      </c>
      <c r="N3" s="10" t="s">
        <v>192</v>
      </c>
      <c r="O3" s="10" t="s">
        <v>193</v>
      </c>
      <c r="P3" s="24" t="s">
        <v>198</v>
      </c>
      <c r="Q3" s="10" t="s">
        <v>199</v>
      </c>
    </row>
    <row r="4" spans="1:17" ht="30" customHeight="1">
      <c r="A4" s="23" t="s">
        <v>188</v>
      </c>
      <c r="B4" s="10" t="s">
        <v>200</v>
      </c>
      <c r="C4" s="10" t="s">
        <v>102</v>
      </c>
      <c r="D4" s="10" t="s">
        <v>197</v>
      </c>
      <c r="E4" s="10">
        <v>21760</v>
      </c>
      <c r="F4" s="10">
        <v>680</v>
      </c>
      <c r="G4" s="10">
        <v>32</v>
      </c>
      <c r="H4" s="10" t="s">
        <v>103</v>
      </c>
      <c r="I4" s="10">
        <v>1792</v>
      </c>
      <c r="J4" s="10">
        <v>105</v>
      </c>
      <c r="K4" s="10">
        <v>419</v>
      </c>
      <c r="L4" s="10">
        <v>575</v>
      </c>
      <c r="M4" s="10" t="s">
        <v>136</v>
      </c>
      <c r="N4" s="10" t="s">
        <v>192</v>
      </c>
      <c r="O4" s="10" t="s">
        <v>193</v>
      </c>
      <c r="P4" s="24" t="s">
        <v>198</v>
      </c>
      <c r="Q4" s="10" t="s">
        <v>201</v>
      </c>
    </row>
    <row r="5" spans="1:17" ht="30" customHeight="1">
      <c r="A5" s="25" t="s">
        <v>202</v>
      </c>
      <c r="B5" s="10" t="s">
        <v>203</v>
      </c>
      <c r="C5" s="10" t="s">
        <v>55</v>
      </c>
      <c r="D5" s="10" t="s">
        <v>190</v>
      </c>
      <c r="E5" s="10">
        <v>8192</v>
      </c>
      <c r="F5" s="10">
        <v>256</v>
      </c>
      <c r="G5" s="10">
        <v>24</v>
      </c>
      <c r="H5" s="10" t="s">
        <v>29</v>
      </c>
      <c r="I5" s="10">
        <v>768</v>
      </c>
      <c r="J5" s="10">
        <v>27.8</v>
      </c>
      <c r="K5" s="10">
        <v>111</v>
      </c>
      <c r="L5" s="10">
        <v>230</v>
      </c>
      <c r="M5" s="10" t="s">
        <v>204</v>
      </c>
      <c r="N5" s="10" t="s">
        <v>192</v>
      </c>
      <c r="O5" s="10" t="s">
        <v>193</v>
      </c>
      <c r="P5" s="10" t="s">
        <v>205</v>
      </c>
      <c r="Q5" s="10" t="s">
        <v>206</v>
      </c>
    </row>
    <row r="6" spans="1:17" ht="30" customHeight="1">
      <c r="A6" s="25" t="s">
        <v>202</v>
      </c>
      <c r="B6" s="10" t="s">
        <v>207</v>
      </c>
      <c r="C6" s="10" t="s">
        <v>55</v>
      </c>
      <c r="D6" s="10" t="s">
        <v>190</v>
      </c>
      <c r="E6" s="10">
        <v>10752</v>
      </c>
      <c r="F6" s="10">
        <v>336</v>
      </c>
      <c r="G6" s="10">
        <v>48</v>
      </c>
      <c r="H6" s="10" t="s">
        <v>29</v>
      </c>
      <c r="I6" s="10">
        <v>768</v>
      </c>
      <c r="J6" s="10">
        <v>38.700000000000003</v>
      </c>
      <c r="K6" s="10">
        <v>155</v>
      </c>
      <c r="L6" s="10">
        <v>300</v>
      </c>
      <c r="M6" s="10" t="s">
        <v>204</v>
      </c>
      <c r="N6" s="10" t="s">
        <v>192</v>
      </c>
      <c r="O6" s="10" t="s">
        <v>193</v>
      </c>
      <c r="P6" s="24" t="s">
        <v>208</v>
      </c>
      <c r="Q6" s="10" t="s">
        <v>209</v>
      </c>
    </row>
    <row r="7" spans="1:17" ht="30" customHeight="1">
      <c r="A7" s="25" t="s">
        <v>202</v>
      </c>
      <c r="B7" s="10" t="s">
        <v>210</v>
      </c>
      <c r="C7" s="10" t="s">
        <v>77</v>
      </c>
      <c r="D7" s="10" t="s">
        <v>197</v>
      </c>
      <c r="E7" s="10">
        <v>18176</v>
      </c>
      <c r="F7" s="10">
        <v>568</v>
      </c>
      <c r="G7" s="10">
        <v>48</v>
      </c>
      <c r="H7" s="10" t="s">
        <v>29</v>
      </c>
      <c r="I7" s="10">
        <v>960</v>
      </c>
      <c r="J7" s="10">
        <v>91.1</v>
      </c>
      <c r="K7" s="10">
        <v>362</v>
      </c>
      <c r="L7" s="10">
        <v>300</v>
      </c>
      <c r="M7" s="10" t="s">
        <v>136</v>
      </c>
      <c r="N7" s="10" t="s">
        <v>192</v>
      </c>
      <c r="O7" s="10" t="s">
        <v>193</v>
      </c>
      <c r="P7" s="24" t="s">
        <v>208</v>
      </c>
      <c r="Q7" s="10" t="s">
        <v>211</v>
      </c>
    </row>
    <row r="8" spans="1:17" ht="30" customHeight="1">
      <c r="A8" s="25" t="s">
        <v>202</v>
      </c>
      <c r="B8" s="10" t="s">
        <v>212</v>
      </c>
      <c r="C8" s="10" t="s">
        <v>102</v>
      </c>
      <c r="D8" s="10" t="s">
        <v>197</v>
      </c>
      <c r="E8" s="10">
        <v>24064</v>
      </c>
      <c r="F8" s="10">
        <v>752</v>
      </c>
      <c r="G8" s="10">
        <v>96</v>
      </c>
      <c r="H8" s="10" t="s">
        <v>103</v>
      </c>
      <c r="I8" s="10">
        <v>1792</v>
      </c>
      <c r="J8" s="10">
        <v>125</v>
      </c>
      <c r="K8" s="10">
        <v>504</v>
      </c>
      <c r="L8" s="10">
        <v>600</v>
      </c>
      <c r="M8" s="10" t="s">
        <v>136</v>
      </c>
      <c r="N8" s="10" t="s">
        <v>213</v>
      </c>
      <c r="O8" s="10" t="s">
        <v>193</v>
      </c>
      <c r="P8" s="24" t="s">
        <v>214</v>
      </c>
      <c r="Q8" s="10" t="s">
        <v>215</v>
      </c>
    </row>
    <row r="9" spans="1:17" ht="30" customHeight="1">
      <c r="A9" s="26" t="s">
        <v>216</v>
      </c>
      <c r="B9" s="10" t="s">
        <v>27</v>
      </c>
      <c r="C9" s="10" t="s">
        <v>28</v>
      </c>
      <c r="D9" s="10" t="s">
        <v>217</v>
      </c>
      <c r="E9" s="10">
        <v>2560</v>
      </c>
      <c r="F9" s="10">
        <v>320</v>
      </c>
      <c r="G9" s="10">
        <v>16</v>
      </c>
      <c r="H9" s="10" t="s">
        <v>29</v>
      </c>
      <c r="I9" s="10">
        <v>320</v>
      </c>
      <c r="J9" s="10">
        <v>8.1</v>
      </c>
      <c r="K9" s="10">
        <v>65</v>
      </c>
      <c r="L9" s="10">
        <v>70</v>
      </c>
      <c r="M9" s="10" t="s">
        <v>136</v>
      </c>
      <c r="N9" s="10" t="s">
        <v>192</v>
      </c>
      <c r="O9" s="10" t="s">
        <v>218</v>
      </c>
      <c r="P9" s="24" t="s">
        <v>219</v>
      </c>
      <c r="Q9" s="10" t="s">
        <v>220</v>
      </c>
    </row>
    <row r="10" spans="1:17" ht="30" customHeight="1">
      <c r="A10" s="26" t="s">
        <v>216</v>
      </c>
      <c r="B10" s="10" t="s">
        <v>76</v>
      </c>
      <c r="C10" s="10" t="s">
        <v>77</v>
      </c>
      <c r="D10" s="10" t="s">
        <v>197</v>
      </c>
      <c r="E10" s="10">
        <v>7680</v>
      </c>
      <c r="F10" s="10">
        <v>240</v>
      </c>
      <c r="G10" s="10">
        <v>24</v>
      </c>
      <c r="H10" s="10" t="s">
        <v>29</v>
      </c>
      <c r="I10" s="10">
        <v>300</v>
      </c>
      <c r="J10" s="10">
        <v>30.3</v>
      </c>
      <c r="K10" s="10">
        <v>121</v>
      </c>
      <c r="L10" s="10">
        <v>72</v>
      </c>
      <c r="M10" s="10" t="s">
        <v>136</v>
      </c>
      <c r="N10" s="10" t="s">
        <v>192</v>
      </c>
      <c r="O10" s="10" t="s">
        <v>218</v>
      </c>
      <c r="P10" s="24" t="s">
        <v>221</v>
      </c>
      <c r="Q10" s="10" t="s">
        <v>222</v>
      </c>
    </row>
    <row r="11" spans="1:17" ht="30" customHeight="1">
      <c r="A11" s="26" t="s">
        <v>223</v>
      </c>
      <c r="B11" s="10" t="s">
        <v>54</v>
      </c>
      <c r="C11" s="10" t="s">
        <v>55</v>
      </c>
      <c r="D11" s="10" t="s">
        <v>190</v>
      </c>
      <c r="E11" s="10">
        <v>9216</v>
      </c>
      <c r="F11" s="10">
        <v>288</v>
      </c>
      <c r="G11" s="10">
        <v>24</v>
      </c>
      <c r="H11" s="10" t="s">
        <v>29</v>
      </c>
      <c r="I11" s="10">
        <v>600</v>
      </c>
      <c r="J11" s="10">
        <v>31.2</v>
      </c>
      <c r="K11" s="10">
        <v>125</v>
      </c>
      <c r="L11" s="10">
        <v>150</v>
      </c>
      <c r="M11" s="10" t="s">
        <v>136</v>
      </c>
      <c r="N11" s="10" t="s">
        <v>192</v>
      </c>
      <c r="O11" s="10" t="s">
        <v>193</v>
      </c>
      <c r="P11" s="24" t="s">
        <v>224</v>
      </c>
      <c r="Q11" s="10" t="s">
        <v>225</v>
      </c>
    </row>
    <row r="12" spans="1:17" ht="30" customHeight="1">
      <c r="A12" s="26" t="s">
        <v>223</v>
      </c>
      <c r="B12" s="10" t="s">
        <v>226</v>
      </c>
      <c r="C12" s="10" t="s">
        <v>55</v>
      </c>
      <c r="D12" s="10" t="s">
        <v>227</v>
      </c>
      <c r="E12" s="10">
        <v>3584</v>
      </c>
      <c r="F12" s="10">
        <v>224</v>
      </c>
      <c r="G12" s="10">
        <v>24</v>
      </c>
      <c r="H12" s="10" t="s">
        <v>123</v>
      </c>
      <c r="I12" s="10">
        <v>933</v>
      </c>
      <c r="J12" s="10">
        <v>10.3</v>
      </c>
      <c r="K12" s="10">
        <v>165</v>
      </c>
      <c r="L12" s="10">
        <v>165</v>
      </c>
      <c r="M12" s="10" t="s">
        <v>228</v>
      </c>
      <c r="N12" s="10" t="s">
        <v>213</v>
      </c>
      <c r="O12" s="10" t="s">
        <v>193</v>
      </c>
      <c r="P12" s="24" t="s">
        <v>229</v>
      </c>
      <c r="Q12" s="10" t="s">
        <v>230</v>
      </c>
    </row>
    <row r="13" spans="1:17" ht="30" customHeight="1">
      <c r="A13" s="26" t="s">
        <v>223</v>
      </c>
      <c r="B13" s="10" t="s">
        <v>231</v>
      </c>
      <c r="C13" s="10" t="s">
        <v>55</v>
      </c>
      <c r="D13" s="10" t="s">
        <v>190</v>
      </c>
      <c r="E13" s="10">
        <v>10752</v>
      </c>
      <c r="F13" s="10">
        <v>336</v>
      </c>
      <c r="G13" s="10">
        <v>48</v>
      </c>
      <c r="H13" s="10" t="s">
        <v>29</v>
      </c>
      <c r="I13" s="10">
        <v>696</v>
      </c>
      <c r="J13" s="10">
        <v>37.4</v>
      </c>
      <c r="K13" s="10">
        <v>150</v>
      </c>
      <c r="L13" s="10">
        <v>300</v>
      </c>
      <c r="M13" s="10" t="s">
        <v>136</v>
      </c>
      <c r="N13" s="10" t="s">
        <v>192</v>
      </c>
      <c r="O13" s="10" t="s">
        <v>193</v>
      </c>
      <c r="P13" s="24" t="s">
        <v>232</v>
      </c>
      <c r="Q13" s="10" t="s">
        <v>233</v>
      </c>
    </row>
    <row r="14" spans="1:17" ht="30" customHeight="1">
      <c r="A14" s="26" t="s">
        <v>223</v>
      </c>
      <c r="B14" s="10" t="s">
        <v>87</v>
      </c>
      <c r="C14" s="10" t="s">
        <v>77</v>
      </c>
      <c r="D14" s="10" t="s">
        <v>197</v>
      </c>
      <c r="E14" s="10">
        <v>18176</v>
      </c>
      <c r="F14" s="10">
        <v>568</v>
      </c>
      <c r="G14" s="10">
        <v>48</v>
      </c>
      <c r="H14" s="10" t="s">
        <v>29</v>
      </c>
      <c r="I14" s="10">
        <v>864</v>
      </c>
      <c r="J14" s="10">
        <v>91.6</v>
      </c>
      <c r="K14" s="10">
        <v>362</v>
      </c>
      <c r="L14" s="10">
        <v>350</v>
      </c>
      <c r="M14" s="10" t="s">
        <v>136</v>
      </c>
      <c r="N14" s="10" t="s">
        <v>192</v>
      </c>
      <c r="O14" s="10" t="s">
        <v>193</v>
      </c>
      <c r="P14" s="24" t="s">
        <v>234</v>
      </c>
      <c r="Q14" s="10" t="s">
        <v>235</v>
      </c>
    </row>
    <row r="15" spans="1:17" ht="30" customHeight="1">
      <c r="A15" s="27" t="s">
        <v>236</v>
      </c>
      <c r="B15" s="10" t="s">
        <v>237</v>
      </c>
      <c r="C15" s="10" t="s">
        <v>55</v>
      </c>
      <c r="D15" s="10" t="s">
        <v>227</v>
      </c>
      <c r="E15" s="10">
        <v>6912</v>
      </c>
      <c r="F15" s="10">
        <v>432</v>
      </c>
      <c r="G15" s="10">
        <v>80</v>
      </c>
      <c r="H15" s="10" t="s">
        <v>123</v>
      </c>
      <c r="I15" s="10">
        <v>2039</v>
      </c>
      <c r="J15" s="10">
        <v>19.5</v>
      </c>
      <c r="K15" s="10">
        <v>312</v>
      </c>
      <c r="L15" s="10">
        <v>400</v>
      </c>
      <c r="M15" s="10" t="s">
        <v>238</v>
      </c>
      <c r="N15" s="10" t="s">
        <v>239</v>
      </c>
      <c r="O15" s="10" t="s">
        <v>240</v>
      </c>
      <c r="P15" s="24" t="s">
        <v>241</v>
      </c>
      <c r="Q15" s="10" t="s">
        <v>242</v>
      </c>
    </row>
    <row r="16" spans="1:17" ht="30" customHeight="1">
      <c r="A16" s="27" t="s">
        <v>236</v>
      </c>
      <c r="B16" s="10" t="s">
        <v>243</v>
      </c>
      <c r="C16" s="10" t="s">
        <v>55</v>
      </c>
      <c r="D16" s="10" t="s">
        <v>227</v>
      </c>
      <c r="E16" s="10">
        <v>6912</v>
      </c>
      <c r="F16" s="10">
        <v>432</v>
      </c>
      <c r="G16" s="10">
        <v>80</v>
      </c>
      <c r="H16" s="10" t="s">
        <v>123</v>
      </c>
      <c r="I16" s="10">
        <v>2039</v>
      </c>
      <c r="J16" s="10">
        <v>19.5</v>
      </c>
      <c r="K16" s="10">
        <v>312</v>
      </c>
      <c r="L16" s="10">
        <v>300</v>
      </c>
      <c r="M16" s="10" t="s">
        <v>136</v>
      </c>
      <c r="N16" s="10" t="s">
        <v>239</v>
      </c>
      <c r="O16" s="10" t="s">
        <v>193</v>
      </c>
      <c r="P16" s="24" t="s">
        <v>241</v>
      </c>
      <c r="Q16" s="10" t="s">
        <v>244</v>
      </c>
    </row>
    <row r="17" spans="1:17" ht="30" customHeight="1">
      <c r="A17" s="27" t="s">
        <v>236</v>
      </c>
      <c r="B17" s="10" t="s">
        <v>245</v>
      </c>
      <c r="C17" s="10" t="s">
        <v>134</v>
      </c>
      <c r="D17" s="10" t="s">
        <v>197</v>
      </c>
      <c r="E17" s="10">
        <v>14592</v>
      </c>
      <c r="F17" s="10">
        <v>456</v>
      </c>
      <c r="G17" s="10">
        <v>80</v>
      </c>
      <c r="H17" s="10" t="s">
        <v>135</v>
      </c>
      <c r="I17" s="10">
        <v>3350</v>
      </c>
      <c r="J17" s="10">
        <v>67</v>
      </c>
      <c r="K17" s="10">
        <v>990</v>
      </c>
      <c r="L17" s="10">
        <v>700</v>
      </c>
      <c r="M17" s="10" t="s">
        <v>246</v>
      </c>
      <c r="N17" s="10" t="s">
        <v>239</v>
      </c>
      <c r="O17" s="10" t="s">
        <v>240</v>
      </c>
      <c r="P17" s="24" t="s">
        <v>247</v>
      </c>
      <c r="Q17" s="10" t="s">
        <v>248</v>
      </c>
    </row>
    <row r="18" spans="1:17" ht="30" customHeight="1">
      <c r="A18" s="27" t="s">
        <v>236</v>
      </c>
      <c r="B18" s="10" t="s">
        <v>249</v>
      </c>
      <c r="C18" s="10" t="s">
        <v>134</v>
      </c>
      <c r="D18" s="10" t="s">
        <v>197</v>
      </c>
      <c r="E18" s="10">
        <v>14592</v>
      </c>
      <c r="F18" s="10">
        <v>456</v>
      </c>
      <c r="G18" s="10">
        <v>80</v>
      </c>
      <c r="H18" s="10" t="s">
        <v>135</v>
      </c>
      <c r="I18" s="10">
        <v>2000</v>
      </c>
      <c r="J18" s="10">
        <v>51</v>
      </c>
      <c r="K18" s="10">
        <v>756</v>
      </c>
      <c r="L18" s="10">
        <v>350</v>
      </c>
      <c r="M18" s="10" t="s">
        <v>136</v>
      </c>
      <c r="N18" s="10" t="s">
        <v>239</v>
      </c>
      <c r="O18" s="10" t="s">
        <v>193</v>
      </c>
      <c r="P18" s="24" t="s">
        <v>241</v>
      </c>
      <c r="Q18" s="10" t="s">
        <v>250</v>
      </c>
    </row>
    <row r="19" spans="1:17" ht="30" customHeight="1">
      <c r="A19" s="27" t="s">
        <v>236</v>
      </c>
      <c r="B19" s="10" t="s">
        <v>251</v>
      </c>
      <c r="C19" s="10" t="s">
        <v>134</v>
      </c>
      <c r="D19" s="10" t="s">
        <v>197</v>
      </c>
      <c r="E19" s="10">
        <v>14592</v>
      </c>
      <c r="F19" s="10">
        <v>456</v>
      </c>
      <c r="G19" s="10">
        <v>141</v>
      </c>
      <c r="H19" s="10" t="s">
        <v>145</v>
      </c>
      <c r="I19" s="10">
        <v>4800</v>
      </c>
      <c r="J19" s="10">
        <v>67</v>
      </c>
      <c r="K19" s="10">
        <v>990</v>
      </c>
      <c r="L19" s="10">
        <v>700</v>
      </c>
      <c r="M19" s="10" t="s">
        <v>246</v>
      </c>
      <c r="N19" s="10" t="s">
        <v>239</v>
      </c>
      <c r="O19" s="10" t="s">
        <v>240</v>
      </c>
      <c r="P19" s="24" t="s">
        <v>247</v>
      </c>
      <c r="Q19" s="10" t="s">
        <v>252</v>
      </c>
    </row>
    <row r="20" spans="1:17" ht="30" customHeight="1">
      <c r="A20" s="28" t="s">
        <v>253</v>
      </c>
      <c r="B20" s="10" t="s">
        <v>254</v>
      </c>
      <c r="C20" s="10" t="s">
        <v>102</v>
      </c>
      <c r="D20" s="10" t="s">
        <v>197</v>
      </c>
      <c r="E20" s="10">
        <v>16896</v>
      </c>
      <c r="F20" s="10">
        <v>528</v>
      </c>
      <c r="G20" s="10" t="s">
        <v>255</v>
      </c>
      <c r="H20" s="10" t="s">
        <v>145</v>
      </c>
      <c r="I20" s="10">
        <v>8000</v>
      </c>
      <c r="J20" s="10">
        <v>90</v>
      </c>
      <c r="K20" s="10">
        <v>2250</v>
      </c>
      <c r="L20" s="10">
        <v>1000</v>
      </c>
      <c r="M20" s="10" t="s">
        <v>256</v>
      </c>
      <c r="N20" s="10" t="s">
        <v>257</v>
      </c>
      <c r="O20" s="10" t="s">
        <v>240</v>
      </c>
      <c r="P20" s="24" t="s">
        <v>247</v>
      </c>
      <c r="Q20" s="10" t="s">
        <v>258</v>
      </c>
    </row>
    <row r="21" spans="1:17" ht="29.25" customHeight="1">
      <c r="A21" s="28" t="s">
        <v>253</v>
      </c>
      <c r="B21" s="10" t="s">
        <v>259</v>
      </c>
      <c r="C21" s="10" t="s">
        <v>159</v>
      </c>
      <c r="D21" s="10" t="s">
        <v>197</v>
      </c>
      <c r="E21" s="10">
        <v>16896</v>
      </c>
      <c r="F21" s="10">
        <v>528</v>
      </c>
      <c r="G21" s="10">
        <v>288</v>
      </c>
      <c r="H21" s="10" t="s">
        <v>145</v>
      </c>
      <c r="I21" s="10">
        <v>12000</v>
      </c>
      <c r="J21" s="10">
        <v>90</v>
      </c>
      <c r="K21" s="10">
        <v>2250</v>
      </c>
      <c r="L21" s="10">
        <v>1000</v>
      </c>
      <c r="M21" s="10" t="s">
        <v>256</v>
      </c>
      <c r="N21" s="10" t="s">
        <v>257</v>
      </c>
      <c r="O21" s="10" t="s">
        <v>240</v>
      </c>
      <c r="P21" s="24" t="s">
        <v>260</v>
      </c>
      <c r="Q21" s="24" t="s">
        <v>261</v>
      </c>
    </row>
  </sheetData>
  <autoFilter ref="A1:Q20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zoomScaleNormal="10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8.7109375" defaultRowHeight="15"/>
  <cols>
    <col min="1" max="1" width="16" customWidth="1"/>
    <col min="2" max="2" width="10" customWidth="1"/>
    <col min="3" max="5" width="14" customWidth="1"/>
    <col min="6" max="6" width="10" customWidth="1"/>
    <col min="7" max="7" width="14" customWidth="1"/>
    <col min="8" max="9" width="12" customWidth="1"/>
    <col min="10" max="10" width="14" customWidth="1"/>
    <col min="11" max="11" width="12" customWidth="1"/>
  </cols>
  <sheetData>
    <row r="1" spans="1:11" ht="39.75" customHeight="1">
      <c r="A1" s="22" t="s">
        <v>175</v>
      </c>
      <c r="B1" s="22" t="s">
        <v>11</v>
      </c>
      <c r="C1" s="21" t="s">
        <v>181</v>
      </c>
      <c r="D1" s="22" t="s">
        <v>14</v>
      </c>
      <c r="E1" s="22" t="s">
        <v>262</v>
      </c>
      <c r="F1" s="22" t="s">
        <v>263</v>
      </c>
      <c r="G1" s="21" t="s">
        <v>264</v>
      </c>
      <c r="H1" s="22" t="s">
        <v>265</v>
      </c>
      <c r="I1" s="22" t="s">
        <v>266</v>
      </c>
      <c r="J1" s="22" t="s">
        <v>267</v>
      </c>
      <c r="K1" s="21" t="s">
        <v>268</v>
      </c>
    </row>
    <row r="2" spans="1:11" ht="15" customHeight="1">
      <c r="A2" s="29" t="s">
        <v>27</v>
      </c>
      <c r="B2" s="29">
        <v>16</v>
      </c>
      <c r="C2" s="29">
        <v>320</v>
      </c>
      <c r="D2" s="29">
        <v>65</v>
      </c>
      <c r="E2" s="29">
        <v>130</v>
      </c>
      <c r="F2" s="29">
        <v>70</v>
      </c>
      <c r="G2" s="30">
        <f>D2/F2</f>
        <v>0.92857142857142905</v>
      </c>
      <c r="H2" s="31" t="s">
        <v>269</v>
      </c>
      <c r="I2" s="31" t="s">
        <v>270</v>
      </c>
      <c r="J2" s="32" t="s">
        <v>271</v>
      </c>
      <c r="K2" s="29" t="s">
        <v>272</v>
      </c>
    </row>
    <row r="3" spans="1:11" ht="15" customHeight="1">
      <c r="A3" s="29" t="s">
        <v>76</v>
      </c>
      <c r="B3" s="29">
        <v>24</v>
      </c>
      <c r="C3" s="29">
        <v>300</v>
      </c>
      <c r="D3" s="29">
        <v>121</v>
      </c>
      <c r="E3" s="29">
        <v>242</v>
      </c>
      <c r="F3" s="29">
        <v>72</v>
      </c>
      <c r="G3" s="30">
        <f>D3/F3</f>
        <v>1.68055555555556</v>
      </c>
      <c r="H3" s="33" t="s">
        <v>273</v>
      </c>
      <c r="I3" s="31" t="s">
        <v>269</v>
      </c>
      <c r="J3" s="32" t="s">
        <v>271</v>
      </c>
      <c r="K3" s="29" t="s">
        <v>274</v>
      </c>
    </row>
    <row r="4" spans="1:11" ht="15" customHeight="1">
      <c r="A4" s="29" t="s">
        <v>54</v>
      </c>
      <c r="B4" s="29">
        <v>24</v>
      </c>
      <c r="C4" s="29">
        <v>600</v>
      </c>
      <c r="D4" s="29">
        <v>125</v>
      </c>
      <c r="E4" s="29">
        <v>250</v>
      </c>
      <c r="F4" s="29">
        <v>150</v>
      </c>
      <c r="G4" s="30">
        <f>D4/F4</f>
        <v>0.83333333333333304</v>
      </c>
      <c r="H4" s="33" t="s">
        <v>273</v>
      </c>
      <c r="I4" s="31" t="s">
        <v>269</v>
      </c>
      <c r="J4" s="32" t="s">
        <v>271</v>
      </c>
      <c r="K4" s="29" t="s">
        <v>275</v>
      </c>
    </row>
    <row r="5" spans="1:11" ht="15" customHeight="1">
      <c r="A5" s="29" t="s">
        <v>226</v>
      </c>
      <c r="B5" s="29">
        <v>24</v>
      </c>
      <c r="C5" s="29">
        <v>933</v>
      </c>
      <c r="D5" s="29">
        <v>165</v>
      </c>
      <c r="E5" s="29">
        <v>330</v>
      </c>
      <c r="F5" s="29">
        <v>165</v>
      </c>
      <c r="G5" s="30">
        <f>D5/F5</f>
        <v>1</v>
      </c>
      <c r="H5" s="33" t="s">
        <v>273</v>
      </c>
      <c r="I5" s="31" t="s">
        <v>269</v>
      </c>
      <c r="J5" s="32" t="s">
        <v>271</v>
      </c>
      <c r="K5" s="29" t="s">
        <v>275</v>
      </c>
    </row>
    <row r="6" spans="1:11" ht="15" customHeight="1">
      <c r="A6" s="29" t="s">
        <v>231</v>
      </c>
      <c r="B6" s="29">
        <v>48</v>
      </c>
      <c r="C6" s="29">
        <v>696</v>
      </c>
      <c r="D6" s="29">
        <v>150</v>
      </c>
      <c r="E6" s="29">
        <v>300</v>
      </c>
      <c r="F6" s="29">
        <v>300</v>
      </c>
      <c r="G6" s="30">
        <f>D6/F6</f>
        <v>0.5</v>
      </c>
      <c r="H6" s="33" t="s">
        <v>273</v>
      </c>
      <c r="I6" s="33" t="s">
        <v>273</v>
      </c>
      <c r="J6" s="31" t="s">
        <v>276</v>
      </c>
      <c r="K6" s="29" t="s">
        <v>275</v>
      </c>
    </row>
    <row r="7" spans="1:11" ht="15" customHeight="1">
      <c r="A7" s="29" t="s">
        <v>277</v>
      </c>
      <c r="B7" s="29">
        <v>24</v>
      </c>
      <c r="C7" s="29">
        <v>1008</v>
      </c>
      <c r="D7" s="29">
        <v>330</v>
      </c>
      <c r="E7" s="29">
        <v>661</v>
      </c>
      <c r="F7" s="29">
        <v>450</v>
      </c>
      <c r="G7" s="30">
        <f>D7/F7</f>
        <v>0.73333333333333295</v>
      </c>
      <c r="H7" s="33" t="s">
        <v>273</v>
      </c>
      <c r="I7" s="33" t="s">
        <v>273</v>
      </c>
      <c r="J7" s="31" t="s">
        <v>276</v>
      </c>
      <c r="K7" s="29" t="s">
        <v>278</v>
      </c>
    </row>
    <row r="8" spans="1:11" ht="15" customHeight="1">
      <c r="A8" s="29" t="s">
        <v>279</v>
      </c>
      <c r="B8" s="29">
        <v>32</v>
      </c>
      <c r="C8" s="29">
        <v>1792</v>
      </c>
      <c r="D8" s="29">
        <v>419</v>
      </c>
      <c r="E8" s="29">
        <v>838</v>
      </c>
      <c r="F8" s="29">
        <v>575</v>
      </c>
      <c r="G8" s="30">
        <f>D8/F8</f>
        <v>0.72869565217391297</v>
      </c>
      <c r="H8" s="33" t="s">
        <v>273</v>
      </c>
      <c r="I8" s="33" t="s">
        <v>273</v>
      </c>
      <c r="J8" s="31" t="s">
        <v>280</v>
      </c>
      <c r="K8" s="29" t="s">
        <v>281</v>
      </c>
    </row>
    <row r="9" spans="1:11" ht="15" customHeight="1">
      <c r="A9" s="29" t="s">
        <v>101</v>
      </c>
      <c r="B9" s="29">
        <v>96</v>
      </c>
      <c r="C9" s="29">
        <v>1792</v>
      </c>
      <c r="D9" s="29">
        <v>504</v>
      </c>
      <c r="E9" s="29">
        <v>1008</v>
      </c>
      <c r="F9" s="29">
        <v>600</v>
      </c>
      <c r="G9" s="30">
        <f>D9/F9</f>
        <v>0.84</v>
      </c>
      <c r="H9" s="33" t="s">
        <v>273</v>
      </c>
      <c r="I9" s="33" t="s">
        <v>273</v>
      </c>
      <c r="J9" s="33" t="s">
        <v>282</v>
      </c>
      <c r="K9" s="10" t="s">
        <v>283</v>
      </c>
    </row>
    <row r="10" spans="1:11" ht="15" customHeight="1">
      <c r="A10" s="29" t="s">
        <v>87</v>
      </c>
      <c r="B10" s="29">
        <v>48</v>
      </c>
      <c r="C10" s="29">
        <v>864</v>
      </c>
      <c r="D10" s="29">
        <v>362</v>
      </c>
      <c r="E10" s="29">
        <v>724</v>
      </c>
      <c r="F10" s="29">
        <v>350</v>
      </c>
      <c r="G10" s="30">
        <f>D10/F10</f>
        <v>1.03428571428571</v>
      </c>
      <c r="H10" s="33" t="s">
        <v>273</v>
      </c>
      <c r="I10" s="33" t="s">
        <v>273</v>
      </c>
      <c r="J10" s="31" t="s">
        <v>280</v>
      </c>
      <c r="K10" s="29" t="s">
        <v>281</v>
      </c>
    </row>
    <row r="11" spans="1:11" ht="15" customHeight="1">
      <c r="A11" s="29" t="s">
        <v>129</v>
      </c>
      <c r="B11" s="29">
        <v>80</v>
      </c>
      <c r="C11" s="29">
        <v>2039</v>
      </c>
      <c r="D11" s="29">
        <v>312</v>
      </c>
      <c r="E11" s="29">
        <v>624</v>
      </c>
      <c r="F11" s="29">
        <v>400</v>
      </c>
      <c r="G11" s="30">
        <f>D11/F11</f>
        <v>0.78</v>
      </c>
      <c r="H11" s="33" t="s">
        <v>273</v>
      </c>
      <c r="I11" s="33" t="s">
        <v>273</v>
      </c>
      <c r="J11" s="33" t="s">
        <v>273</v>
      </c>
      <c r="K11" s="29" t="s">
        <v>284</v>
      </c>
    </row>
    <row r="12" spans="1:11" ht="15" customHeight="1">
      <c r="A12" s="29" t="s">
        <v>245</v>
      </c>
      <c r="B12" s="29">
        <v>80</v>
      </c>
      <c r="C12" s="29">
        <v>3350</v>
      </c>
      <c r="D12" s="29">
        <v>990</v>
      </c>
      <c r="E12" s="29">
        <v>1979</v>
      </c>
      <c r="F12" s="29">
        <v>700</v>
      </c>
      <c r="G12" s="30">
        <f>D12/F12</f>
        <v>1.4142857142857099</v>
      </c>
      <c r="H12" s="33" t="s">
        <v>273</v>
      </c>
      <c r="I12" s="33" t="s">
        <v>273</v>
      </c>
      <c r="J12" s="33" t="s">
        <v>273</v>
      </c>
      <c r="K12" s="29" t="s">
        <v>285</v>
      </c>
    </row>
    <row r="13" spans="1:11" ht="15" customHeight="1">
      <c r="A13" s="29" t="s">
        <v>251</v>
      </c>
      <c r="B13" s="29">
        <v>141</v>
      </c>
      <c r="C13" s="29">
        <v>4800</v>
      </c>
      <c r="D13" s="29">
        <v>990</v>
      </c>
      <c r="E13" s="29">
        <v>1979</v>
      </c>
      <c r="F13" s="29">
        <v>700</v>
      </c>
      <c r="G13" s="30">
        <f>D13/F13</f>
        <v>1.4142857142857099</v>
      </c>
      <c r="H13" s="33" t="s">
        <v>273</v>
      </c>
      <c r="I13" s="33" t="s">
        <v>273</v>
      </c>
      <c r="J13" s="33" t="s">
        <v>273</v>
      </c>
      <c r="K13" s="29" t="s">
        <v>286</v>
      </c>
    </row>
    <row r="14" spans="1:11" ht="15" customHeight="1">
      <c r="A14" s="29" t="s">
        <v>287</v>
      </c>
      <c r="B14" s="29" t="s">
        <v>288</v>
      </c>
      <c r="C14" s="29">
        <v>8000</v>
      </c>
      <c r="D14" s="29">
        <v>2250</v>
      </c>
      <c r="E14" s="29">
        <v>4500</v>
      </c>
      <c r="F14" s="29">
        <v>1000</v>
      </c>
      <c r="G14" s="30">
        <f>D14/F14</f>
        <v>2.25</v>
      </c>
      <c r="H14" s="33" t="s">
        <v>273</v>
      </c>
      <c r="I14" s="33" t="s">
        <v>273</v>
      </c>
      <c r="J14" s="33" t="s">
        <v>273</v>
      </c>
      <c r="K14" s="29" t="s">
        <v>289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2"/>
  <sheetViews>
    <sheetView zoomScaleNormal="100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ColWidth="8.7109375" defaultRowHeight="15"/>
  <cols>
    <col min="1" max="1" width="18" customWidth="1"/>
    <col min="2" max="2" width="10" customWidth="1"/>
    <col min="3" max="4" width="14" customWidth="1"/>
    <col min="5" max="6" width="10" customWidth="1"/>
    <col min="7" max="7" width="12" customWidth="1"/>
    <col min="8" max="8" width="8" customWidth="1"/>
    <col min="9" max="10" width="14" customWidth="1"/>
    <col min="11" max="11" width="16" customWidth="1"/>
    <col min="12" max="12" width="12" customWidth="1"/>
  </cols>
  <sheetData>
    <row r="1" spans="1:12" ht="39.75" customHeight="1">
      <c r="A1" s="22" t="s">
        <v>175</v>
      </c>
      <c r="B1" s="22" t="s">
        <v>11</v>
      </c>
      <c r="C1" s="21" t="s">
        <v>181</v>
      </c>
      <c r="D1" s="22" t="s">
        <v>14</v>
      </c>
      <c r="E1" s="22" t="s">
        <v>290</v>
      </c>
      <c r="F1" s="22" t="s">
        <v>291</v>
      </c>
      <c r="G1" s="22" t="s">
        <v>184</v>
      </c>
      <c r="H1" s="22" t="s">
        <v>292</v>
      </c>
      <c r="I1" s="21" t="s">
        <v>293</v>
      </c>
      <c r="J1" s="21" t="s">
        <v>294</v>
      </c>
      <c r="K1" s="21" t="s">
        <v>295</v>
      </c>
      <c r="L1" s="21" t="s">
        <v>296</v>
      </c>
    </row>
    <row r="2" spans="1:12" ht="15" customHeight="1">
      <c r="A2" s="29" t="s">
        <v>277</v>
      </c>
      <c r="B2" s="29">
        <v>24</v>
      </c>
      <c r="C2" s="29">
        <v>1008</v>
      </c>
      <c r="D2" s="29">
        <v>330</v>
      </c>
      <c r="E2" s="29" t="s">
        <v>192</v>
      </c>
      <c r="F2" s="29" t="s">
        <v>192</v>
      </c>
      <c r="G2" s="29" t="s">
        <v>136</v>
      </c>
      <c r="H2" s="29" t="s">
        <v>192</v>
      </c>
      <c r="I2" s="33" t="s">
        <v>273</v>
      </c>
      <c r="J2" s="32" t="s">
        <v>271</v>
      </c>
      <c r="K2" s="32" t="s">
        <v>271</v>
      </c>
      <c r="L2" s="29" t="s">
        <v>272</v>
      </c>
    </row>
    <row r="3" spans="1:12" ht="15" customHeight="1">
      <c r="A3" s="29" t="s">
        <v>279</v>
      </c>
      <c r="B3" s="29">
        <v>32</v>
      </c>
      <c r="C3" s="29">
        <v>1792</v>
      </c>
      <c r="D3" s="29">
        <v>419</v>
      </c>
      <c r="E3" s="29" t="s">
        <v>257</v>
      </c>
      <c r="F3" s="29" t="s">
        <v>257</v>
      </c>
      <c r="G3" s="29" t="s">
        <v>136</v>
      </c>
      <c r="H3" s="29" t="s">
        <v>192</v>
      </c>
      <c r="I3" s="33" t="s">
        <v>273</v>
      </c>
      <c r="J3" s="31" t="s">
        <v>270</v>
      </c>
      <c r="K3" s="32" t="s">
        <v>271</v>
      </c>
      <c r="L3" s="29" t="s">
        <v>274</v>
      </c>
    </row>
    <row r="4" spans="1:12" ht="15" customHeight="1">
      <c r="A4" s="29" t="s">
        <v>207</v>
      </c>
      <c r="B4" s="29">
        <v>48</v>
      </c>
      <c r="C4" s="29">
        <v>768</v>
      </c>
      <c r="D4" s="29">
        <v>155</v>
      </c>
      <c r="E4" s="29" t="s">
        <v>192</v>
      </c>
      <c r="F4" s="29" t="s">
        <v>192</v>
      </c>
      <c r="G4" s="29" t="s">
        <v>204</v>
      </c>
      <c r="H4" s="29" t="s">
        <v>192</v>
      </c>
      <c r="I4" s="33" t="s">
        <v>273</v>
      </c>
      <c r="J4" s="31" t="s">
        <v>270</v>
      </c>
      <c r="K4" s="32" t="s">
        <v>271</v>
      </c>
      <c r="L4" s="29" t="s">
        <v>297</v>
      </c>
    </row>
    <row r="5" spans="1:12" ht="15" customHeight="1">
      <c r="A5" s="29" t="s">
        <v>210</v>
      </c>
      <c r="B5" s="29">
        <v>48</v>
      </c>
      <c r="C5" s="29">
        <v>960</v>
      </c>
      <c r="D5" s="29">
        <v>362</v>
      </c>
      <c r="E5" s="29" t="s">
        <v>257</v>
      </c>
      <c r="F5" s="29" t="s">
        <v>192</v>
      </c>
      <c r="G5" s="29" t="s">
        <v>136</v>
      </c>
      <c r="H5" s="29" t="s">
        <v>192</v>
      </c>
      <c r="I5" s="33" t="s">
        <v>273</v>
      </c>
      <c r="J5" s="31" t="s">
        <v>270</v>
      </c>
      <c r="K5" s="32" t="s">
        <v>271</v>
      </c>
      <c r="L5" s="29" t="s">
        <v>275</v>
      </c>
    </row>
    <row r="6" spans="1:12" ht="15" customHeight="1">
      <c r="A6" s="29" t="s">
        <v>87</v>
      </c>
      <c r="B6" s="29">
        <v>48</v>
      </c>
      <c r="C6" s="29">
        <v>864</v>
      </c>
      <c r="D6" s="29">
        <v>362</v>
      </c>
      <c r="E6" s="29" t="s">
        <v>257</v>
      </c>
      <c r="F6" s="29" t="s">
        <v>192</v>
      </c>
      <c r="G6" s="29" t="s">
        <v>136</v>
      </c>
      <c r="H6" s="29" t="s">
        <v>192</v>
      </c>
      <c r="I6" s="33" t="s">
        <v>273</v>
      </c>
      <c r="J6" s="31" t="s">
        <v>270</v>
      </c>
      <c r="K6" s="32" t="s">
        <v>271</v>
      </c>
      <c r="L6" s="29" t="s">
        <v>275</v>
      </c>
    </row>
    <row r="7" spans="1:12" ht="15" customHeight="1">
      <c r="A7" s="29" t="s">
        <v>101</v>
      </c>
      <c r="B7" s="29">
        <v>96</v>
      </c>
      <c r="C7" s="29">
        <v>1792</v>
      </c>
      <c r="D7" s="29">
        <v>504</v>
      </c>
      <c r="E7" s="29" t="s">
        <v>257</v>
      </c>
      <c r="F7" s="29" t="s">
        <v>257</v>
      </c>
      <c r="G7" s="29" t="s">
        <v>136</v>
      </c>
      <c r="H7" s="29" t="s">
        <v>213</v>
      </c>
      <c r="I7" s="33" t="s">
        <v>273</v>
      </c>
      <c r="J7" s="33" t="s">
        <v>273</v>
      </c>
      <c r="K7" s="31" t="s">
        <v>298</v>
      </c>
      <c r="L7" s="29" t="s">
        <v>281</v>
      </c>
    </row>
    <row r="8" spans="1:12" ht="15" customHeight="1">
      <c r="A8" s="29" t="s">
        <v>237</v>
      </c>
      <c r="B8" s="29">
        <v>80</v>
      </c>
      <c r="C8" s="29">
        <v>2039</v>
      </c>
      <c r="D8" s="29">
        <v>312</v>
      </c>
      <c r="E8" s="29" t="s">
        <v>192</v>
      </c>
      <c r="F8" s="29" t="s">
        <v>192</v>
      </c>
      <c r="G8" s="29" t="s">
        <v>238</v>
      </c>
      <c r="H8" s="29" t="s">
        <v>257</v>
      </c>
      <c r="I8" s="33" t="s">
        <v>273</v>
      </c>
      <c r="J8" s="33" t="s">
        <v>273</v>
      </c>
      <c r="K8" s="31" t="s">
        <v>298</v>
      </c>
      <c r="L8" s="29" t="s">
        <v>284</v>
      </c>
    </row>
    <row r="9" spans="1:12" ht="15" customHeight="1">
      <c r="A9" s="29" t="s">
        <v>245</v>
      </c>
      <c r="B9" s="29">
        <v>80</v>
      </c>
      <c r="C9" s="29">
        <v>3350</v>
      </c>
      <c r="D9" s="29">
        <v>990</v>
      </c>
      <c r="E9" s="29" t="s">
        <v>257</v>
      </c>
      <c r="F9" s="29" t="s">
        <v>192</v>
      </c>
      <c r="G9" s="29" t="s">
        <v>246</v>
      </c>
      <c r="H9" s="29" t="s">
        <v>257</v>
      </c>
      <c r="I9" s="33" t="s">
        <v>273</v>
      </c>
      <c r="J9" s="33" t="s">
        <v>273</v>
      </c>
      <c r="K9" s="33" t="s">
        <v>299</v>
      </c>
      <c r="L9" s="29" t="s">
        <v>285</v>
      </c>
    </row>
    <row r="10" spans="1:12" ht="15" customHeight="1">
      <c r="A10" s="29" t="s">
        <v>251</v>
      </c>
      <c r="B10" s="29">
        <v>141</v>
      </c>
      <c r="C10" s="29">
        <v>4800</v>
      </c>
      <c r="D10" s="29">
        <v>990</v>
      </c>
      <c r="E10" s="29" t="s">
        <v>257</v>
      </c>
      <c r="F10" s="29" t="s">
        <v>192</v>
      </c>
      <c r="G10" s="29" t="s">
        <v>246</v>
      </c>
      <c r="H10" s="29" t="s">
        <v>257</v>
      </c>
      <c r="I10" s="33" t="s">
        <v>273</v>
      </c>
      <c r="J10" s="33" t="s">
        <v>273</v>
      </c>
      <c r="K10" s="33" t="s">
        <v>299</v>
      </c>
      <c r="L10" s="29" t="s">
        <v>286</v>
      </c>
    </row>
    <row r="11" spans="1:12" ht="15" customHeight="1">
      <c r="A11" s="29" t="s">
        <v>287</v>
      </c>
      <c r="B11" s="29" t="s">
        <v>288</v>
      </c>
      <c r="C11" s="29">
        <v>8000</v>
      </c>
      <c r="D11" s="29">
        <v>2250</v>
      </c>
      <c r="E11" s="29" t="s">
        <v>257</v>
      </c>
      <c r="F11" s="29" t="s">
        <v>257</v>
      </c>
      <c r="G11" s="29" t="s">
        <v>256</v>
      </c>
      <c r="H11" s="29" t="s">
        <v>257</v>
      </c>
      <c r="I11" s="33" t="s">
        <v>273</v>
      </c>
      <c r="J11" s="33" t="s">
        <v>273</v>
      </c>
      <c r="K11" s="33" t="s">
        <v>273</v>
      </c>
      <c r="L11" s="29" t="s">
        <v>289</v>
      </c>
    </row>
    <row r="12" spans="1:12" ht="15" customHeight="1">
      <c r="A12" s="29" t="s">
        <v>259</v>
      </c>
      <c r="B12" s="29">
        <v>288</v>
      </c>
      <c r="C12" s="29">
        <v>12000</v>
      </c>
      <c r="D12" s="29">
        <v>2250</v>
      </c>
      <c r="E12" s="29" t="s">
        <v>257</v>
      </c>
      <c r="F12" s="29" t="s">
        <v>257</v>
      </c>
      <c r="G12" s="29" t="s">
        <v>256</v>
      </c>
      <c r="H12" s="29" t="s">
        <v>257</v>
      </c>
      <c r="I12" s="33" t="s">
        <v>273</v>
      </c>
      <c r="J12" s="33" t="s">
        <v>273</v>
      </c>
      <c r="K12" s="33" t="s">
        <v>273</v>
      </c>
      <c r="L12" s="29" t="s">
        <v>300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1"/>
  <sheetViews>
    <sheetView zoomScaleNormal="100" workbookViewId="0">
      <pane xSplit="2" ySplit="1" topLeftCell="C2" activePane="bottomRight" state="frozen"/>
      <selection pane="bottomRight"/>
      <selection pane="bottomLeft" activeCell="A2" sqref="A2"/>
      <selection pane="topRight" activeCell="C1" sqref="C1"/>
    </sheetView>
  </sheetViews>
  <sheetFormatPr defaultColWidth="8.7109375" defaultRowHeight="15"/>
  <cols>
    <col min="1" max="1" width="14" customWidth="1"/>
    <col min="2" max="2" width="8" customWidth="1"/>
    <col min="3" max="3" width="16" customWidth="1"/>
    <col min="4" max="4" width="20" customWidth="1"/>
    <col min="5" max="5" width="12" customWidth="1"/>
    <col min="6" max="7" width="18" customWidth="1"/>
    <col min="8" max="8" width="16" customWidth="1"/>
    <col min="9" max="9" width="20" customWidth="1"/>
    <col min="10" max="10" width="14" customWidth="1"/>
  </cols>
  <sheetData>
    <row r="1" spans="1:10" ht="45" customHeight="1">
      <c r="A1" s="22" t="s">
        <v>175</v>
      </c>
      <c r="B1" s="22" t="s">
        <v>11</v>
      </c>
      <c r="C1" s="22" t="s">
        <v>301</v>
      </c>
      <c r="D1" s="22" t="s">
        <v>302</v>
      </c>
      <c r="E1" s="22" t="s">
        <v>303</v>
      </c>
      <c r="F1" s="22" t="s">
        <v>304</v>
      </c>
      <c r="G1" s="22" t="s">
        <v>305</v>
      </c>
      <c r="H1" s="22" t="s">
        <v>306</v>
      </c>
      <c r="I1" s="21" t="s">
        <v>22</v>
      </c>
      <c r="J1" s="21" t="s">
        <v>307</v>
      </c>
    </row>
    <row r="2" spans="1:10" ht="64.5" customHeight="1">
      <c r="A2" s="10" t="s">
        <v>27</v>
      </c>
      <c r="B2" s="10">
        <v>16</v>
      </c>
      <c r="C2" s="10" t="s">
        <v>25</v>
      </c>
      <c r="D2" s="10" t="s">
        <v>308</v>
      </c>
      <c r="E2" s="10" t="s">
        <v>309</v>
      </c>
      <c r="F2" s="10" t="s">
        <v>310</v>
      </c>
      <c r="G2" s="10" t="s">
        <v>311</v>
      </c>
      <c r="H2" s="10" t="s">
        <v>312</v>
      </c>
      <c r="I2" s="24" t="s">
        <v>219</v>
      </c>
      <c r="J2" s="34" t="s">
        <v>313</v>
      </c>
    </row>
    <row r="3" spans="1:10" ht="64.5" customHeight="1">
      <c r="A3" s="10" t="s">
        <v>54</v>
      </c>
      <c r="B3" s="10">
        <v>24</v>
      </c>
      <c r="C3" s="10" t="s">
        <v>52</v>
      </c>
      <c r="D3" s="10" t="s">
        <v>314</v>
      </c>
      <c r="E3" s="10" t="s">
        <v>315</v>
      </c>
      <c r="F3" s="10" t="s">
        <v>316</v>
      </c>
      <c r="G3" s="10" t="s">
        <v>136</v>
      </c>
      <c r="H3" s="10" t="s">
        <v>136</v>
      </c>
      <c r="I3" s="24" t="s">
        <v>224</v>
      </c>
      <c r="J3" s="34" t="s">
        <v>313</v>
      </c>
    </row>
    <row r="4" spans="1:10" ht="64.5" customHeight="1">
      <c r="A4" s="10" t="s">
        <v>76</v>
      </c>
      <c r="B4" s="10">
        <v>24</v>
      </c>
      <c r="C4" s="10" t="s">
        <v>74</v>
      </c>
      <c r="D4" s="10" t="s">
        <v>317</v>
      </c>
      <c r="E4" s="10" t="s">
        <v>315</v>
      </c>
      <c r="F4" s="10" t="s">
        <v>318</v>
      </c>
      <c r="G4" s="10" t="s">
        <v>319</v>
      </c>
      <c r="H4" s="10" t="s">
        <v>320</v>
      </c>
      <c r="I4" s="24" t="s">
        <v>221</v>
      </c>
      <c r="J4" s="34" t="s">
        <v>313</v>
      </c>
    </row>
    <row r="5" spans="1:10" ht="64.5" customHeight="1">
      <c r="A5" s="10" t="s">
        <v>87</v>
      </c>
      <c r="B5" s="10">
        <v>48</v>
      </c>
      <c r="C5" s="10" t="s">
        <v>85</v>
      </c>
      <c r="D5" s="10" t="s">
        <v>321</v>
      </c>
      <c r="E5" s="10" t="s">
        <v>315</v>
      </c>
      <c r="F5" s="10" t="s">
        <v>322</v>
      </c>
      <c r="G5" s="10" t="s">
        <v>323</v>
      </c>
      <c r="H5" s="10" t="s">
        <v>136</v>
      </c>
      <c r="I5" s="24" t="s">
        <v>234</v>
      </c>
      <c r="J5" s="35" t="s">
        <v>324</v>
      </c>
    </row>
    <row r="6" spans="1:10" ht="64.5" customHeight="1">
      <c r="A6" s="10" t="s">
        <v>325</v>
      </c>
      <c r="B6" s="10">
        <v>96</v>
      </c>
      <c r="C6" s="10" t="s">
        <v>326</v>
      </c>
      <c r="D6" s="10" t="s">
        <v>327</v>
      </c>
      <c r="E6" s="10" t="s">
        <v>315</v>
      </c>
      <c r="F6" s="24" t="s">
        <v>328</v>
      </c>
      <c r="G6" s="10" t="s">
        <v>136</v>
      </c>
      <c r="H6" s="10" t="s">
        <v>136</v>
      </c>
      <c r="I6" s="10" t="s">
        <v>329</v>
      </c>
      <c r="J6" s="36" t="s">
        <v>330</v>
      </c>
    </row>
    <row r="7" spans="1:10" ht="64.5" customHeight="1">
      <c r="A7" s="10" t="s">
        <v>122</v>
      </c>
      <c r="B7" s="10">
        <v>40</v>
      </c>
      <c r="C7" s="10" t="s">
        <v>120</v>
      </c>
      <c r="D7" s="10" t="s">
        <v>121</v>
      </c>
      <c r="E7" s="10" t="s">
        <v>331</v>
      </c>
      <c r="F7" s="10" t="s">
        <v>332</v>
      </c>
      <c r="G7" s="10" t="s">
        <v>333</v>
      </c>
      <c r="H7" s="10" t="s">
        <v>334</v>
      </c>
      <c r="I7" s="24" t="s">
        <v>241</v>
      </c>
      <c r="J7" s="34" t="s">
        <v>313</v>
      </c>
    </row>
    <row r="8" spans="1:10" ht="64.5" customHeight="1">
      <c r="A8" s="10" t="s">
        <v>129</v>
      </c>
      <c r="B8" s="10">
        <v>80</v>
      </c>
      <c r="C8" s="10" t="s">
        <v>127</v>
      </c>
      <c r="D8" s="10" t="s">
        <v>128</v>
      </c>
      <c r="E8" s="10" t="s">
        <v>331</v>
      </c>
      <c r="F8" s="10" t="s">
        <v>335</v>
      </c>
      <c r="G8" s="10" t="s">
        <v>336</v>
      </c>
      <c r="H8" s="10" t="s">
        <v>337</v>
      </c>
      <c r="I8" s="24" t="s">
        <v>241</v>
      </c>
      <c r="J8" s="35" t="s">
        <v>324</v>
      </c>
    </row>
    <row r="9" spans="1:10" ht="64.5" customHeight="1">
      <c r="A9" s="10" t="s">
        <v>245</v>
      </c>
      <c r="B9" s="10">
        <v>80</v>
      </c>
      <c r="C9" s="10" t="s">
        <v>131</v>
      </c>
      <c r="D9" s="10" t="s">
        <v>138</v>
      </c>
      <c r="E9" s="10" t="s">
        <v>331</v>
      </c>
      <c r="F9" s="10" t="s">
        <v>338</v>
      </c>
      <c r="G9" s="10" t="s">
        <v>339</v>
      </c>
      <c r="H9" s="10" t="s">
        <v>340</v>
      </c>
      <c r="I9" s="24" t="s">
        <v>247</v>
      </c>
      <c r="J9" s="34" t="s">
        <v>313</v>
      </c>
    </row>
    <row r="10" spans="1:10" ht="64.5" customHeight="1">
      <c r="A10" s="10" t="s">
        <v>251</v>
      </c>
      <c r="B10" s="10">
        <v>141</v>
      </c>
      <c r="C10" s="10" t="s">
        <v>341</v>
      </c>
      <c r="D10" s="10" t="s">
        <v>342</v>
      </c>
      <c r="E10" s="10" t="s">
        <v>343</v>
      </c>
      <c r="F10" s="10" t="s">
        <v>344</v>
      </c>
      <c r="G10" s="10" t="s">
        <v>345</v>
      </c>
      <c r="H10" s="10" t="s">
        <v>346</v>
      </c>
      <c r="I10" s="24" t="s">
        <v>247</v>
      </c>
      <c r="J10" s="35" t="s">
        <v>324</v>
      </c>
    </row>
    <row r="11" spans="1:10" ht="26.25" customHeight="1">
      <c r="A11" s="10" t="s">
        <v>347</v>
      </c>
      <c r="B11" s="10">
        <v>192</v>
      </c>
      <c r="C11" s="10" t="s">
        <v>348</v>
      </c>
      <c r="D11" s="10" t="s">
        <v>349</v>
      </c>
      <c r="E11" s="10" t="s">
        <v>331</v>
      </c>
      <c r="F11" s="10" t="s">
        <v>350</v>
      </c>
      <c r="G11" s="10" t="s">
        <v>351</v>
      </c>
      <c r="H11" s="10" t="s">
        <v>352</v>
      </c>
      <c r="I11" s="24" t="s">
        <v>260</v>
      </c>
      <c r="J11" s="37" t="s">
        <v>353</v>
      </c>
    </row>
    <row r="12" spans="1:10" ht="15" customHeight="1"/>
    <row r="13" spans="1:10" ht="13.5" customHeight="1">
      <c r="A13" s="39" t="s">
        <v>166</v>
      </c>
      <c r="B13" s="39"/>
      <c r="C13" s="39"/>
      <c r="D13" s="39"/>
      <c r="E13" s="39"/>
      <c r="F13" s="39"/>
      <c r="G13" s="39"/>
      <c r="H13" s="39"/>
      <c r="I13" s="39"/>
      <c r="J13" s="39"/>
    </row>
    <row r="14" spans="1:10" ht="13.5" customHeight="1">
      <c r="A14" s="38" t="s">
        <v>354</v>
      </c>
      <c r="B14" s="38"/>
      <c r="C14" s="38"/>
      <c r="D14" s="38"/>
      <c r="E14" s="38"/>
      <c r="F14" s="38"/>
      <c r="G14" s="38"/>
      <c r="H14" s="38"/>
      <c r="I14" s="38"/>
      <c r="J14" s="38"/>
    </row>
    <row r="15" spans="1:10" ht="13.5" customHeight="1">
      <c r="A15" s="38" t="s">
        <v>355</v>
      </c>
      <c r="B15" s="38"/>
      <c r="C15" s="38"/>
      <c r="D15" s="38"/>
      <c r="E15" s="38"/>
      <c r="F15" s="38"/>
      <c r="G15" s="38"/>
      <c r="H15" s="38"/>
      <c r="I15" s="38"/>
      <c r="J15" s="38"/>
    </row>
    <row r="16" spans="1:10" ht="13.5" customHeight="1">
      <c r="A16" s="38" t="s">
        <v>356</v>
      </c>
      <c r="B16" s="38"/>
      <c r="C16" s="38"/>
      <c r="D16" s="38"/>
      <c r="E16" s="38"/>
      <c r="F16" s="38"/>
      <c r="G16" s="38"/>
      <c r="H16" s="38"/>
      <c r="I16" s="38"/>
      <c r="J16" s="38"/>
    </row>
    <row r="17" spans="1:10" ht="13.5" customHeight="1">
      <c r="A17" s="38" t="s">
        <v>357</v>
      </c>
      <c r="B17" s="38"/>
      <c r="C17" s="38"/>
      <c r="D17" s="38"/>
      <c r="E17" s="38"/>
      <c r="F17" s="38"/>
      <c r="G17" s="38"/>
      <c r="H17" s="38"/>
      <c r="I17" s="38"/>
      <c r="J17" s="38"/>
    </row>
    <row r="18" spans="1:10" ht="13.5" customHeight="1">
      <c r="A18" s="38" t="s">
        <v>358</v>
      </c>
      <c r="B18" s="38"/>
      <c r="C18" s="38"/>
      <c r="D18" s="38"/>
      <c r="E18" s="38"/>
      <c r="F18" s="38"/>
      <c r="G18" s="38"/>
      <c r="H18" s="38"/>
      <c r="I18" s="38"/>
      <c r="J18" s="38"/>
    </row>
    <row r="19" spans="1:10" ht="15" customHeight="1">
      <c r="A19" s="38" t="s">
        <v>359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13.5" customHeight="1">
      <c r="A20" s="38" t="s">
        <v>360</v>
      </c>
      <c r="B20" s="38"/>
      <c r="C20" s="38"/>
      <c r="D20" s="38"/>
      <c r="E20" s="38"/>
      <c r="F20" s="38"/>
      <c r="G20" s="38"/>
      <c r="H20" s="38"/>
      <c r="I20" s="38"/>
      <c r="J20" s="38"/>
    </row>
    <row r="21" spans="1:10" ht="13.5" customHeight="1">
      <c r="A21" s="38" t="s">
        <v>361</v>
      </c>
      <c r="B21" s="38"/>
      <c r="C21" s="38"/>
      <c r="D21" s="38"/>
      <c r="E21" s="38"/>
      <c r="F21" s="38"/>
      <c r="G21" s="38"/>
      <c r="H21" s="38"/>
      <c r="I21" s="38"/>
      <c r="J21" s="38"/>
    </row>
  </sheetData>
  <mergeCells count="9">
    <mergeCell ref="A18:J18"/>
    <mergeCell ref="A19:J19"/>
    <mergeCell ref="A20:J20"/>
    <mergeCell ref="A21:J21"/>
    <mergeCell ref="A13:J13"/>
    <mergeCell ref="A14:J14"/>
    <mergeCell ref="A15:J15"/>
    <mergeCell ref="A16:J16"/>
    <mergeCell ref="A17:J1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이상우</cp:lastModifiedBy>
  <cp:revision>0</cp:revision>
  <dcterms:created xsi:type="dcterms:W3CDTF">2026-03-19T05:42:22Z</dcterms:created>
  <dcterms:modified xsi:type="dcterms:W3CDTF">2026-04-09T03:23:19Z</dcterms:modified>
  <cp:category/>
  <cp:contentStatus/>
</cp:coreProperties>
</file>