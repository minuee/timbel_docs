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0525\_projects\1_ECS\SSG닷컴\"/>
    </mc:Choice>
  </mc:AlternateContent>
  <xr:revisionPtr revIDLastSave="0" documentId="8_{939C6BFA-53BC-4173-8A1B-89EFDBFF20FC}" xr6:coauthVersionLast="47" xr6:coauthVersionMax="47" xr10:uidLastSave="{00000000-0000-0000-0000-000000000000}"/>
  <bookViews>
    <workbookView xWindow="34452" yWindow="-108" windowWidth="30936" windowHeight="16776" tabRatio="713" xr2:uid="{A96290F2-641F-4557-8288-EDA8CF71910C}"/>
  </bookViews>
  <sheets>
    <sheet name="요약" sheetId="28" r:id="rId1"/>
    <sheet name="라이선스" sheetId="26" r:id="rId2"/>
    <sheet name="구축비" sheetId="21" r:id="rId3"/>
    <sheet name="운영_HW스펙(이중화)_LLM_GPU" sheetId="34" r:id="rId4"/>
    <sheet name="개발_HW스펙_LLM_GPU" sheetId="35" r:id="rId5"/>
  </sheets>
  <definedNames>
    <definedName name="_xlnm.Print_Area" localSheetId="4">개발_HW스펙_LLM_GPU!$A$1:$P$1</definedName>
    <definedName name="_xlnm.Print_Area" localSheetId="2">구축비!$B$1:$Q$26</definedName>
    <definedName name="_xlnm.Print_Area" localSheetId="1">라이선스!$B$1:$Q$24</definedName>
    <definedName name="_xlnm.Print_Area" localSheetId="0">요약!$B$1:$N$24</definedName>
    <definedName name="_xlnm.Print_Area" localSheetId="3">'운영_HW스펙(이중화)_LLM_GPU'!$A$1:$P$1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26" l="1"/>
  <c r="L18" i="26"/>
  <c r="L17" i="26"/>
  <c r="I19" i="28"/>
  <c r="I17" i="28"/>
  <c r="L16" i="21"/>
  <c r="L14" i="26"/>
  <c r="I33" i="28"/>
  <c r="I14" i="28" l="1"/>
  <c r="L15" i="21" l="1"/>
  <c r="L14" i="21"/>
  <c r="L16" i="26"/>
  <c r="L15" i="26"/>
  <c r="I30" i="28"/>
  <c r="I29" i="28"/>
  <c r="I28" i="28"/>
  <c r="I15" i="28"/>
  <c r="L21" i="21" l="1"/>
  <c r="L20" i="21"/>
  <c r="L18" i="21"/>
  <c r="I32" i="28" l="1"/>
  <c r="I34" i="28"/>
  <c r="I31" i="28"/>
  <c r="L22" i="21" l="1"/>
  <c r="L17" i="21"/>
  <c r="I35" i="28" l="1"/>
  <c r="I36" i="28"/>
  <c r="L19" i="21"/>
  <c r="L13" i="26" l="1"/>
  <c r="L20" i="26" l="1"/>
  <c r="I13" i="28"/>
  <c r="E20" i="28" s="1"/>
  <c r="I27" i="28"/>
  <c r="E37" i="28" s="1"/>
  <c r="E21" i="28" l="1"/>
  <c r="E38" i="28"/>
  <c r="E39" i="28" s="1"/>
  <c r="E22" i="28" l="1"/>
  <c r="E23" i="28" s="1"/>
  <c r="L13" i="21"/>
  <c r="L21" i="26"/>
  <c r="L22" i="26" s="1"/>
  <c r="L23" i="26" l="1"/>
  <c r="L24" i="26" s="1"/>
  <c r="L23" i="21"/>
  <c r="L24" i="21" s="1"/>
  <c r="L25" i="21" l="1"/>
  <c r="L26" i="21" s="1"/>
</calcChain>
</file>

<file path=xl/sharedStrings.xml><?xml version="1.0" encoding="utf-8"?>
<sst xmlns="http://schemas.openxmlformats.org/spreadsheetml/2006/main" count="349" uniqueCount="149">
  <si>
    <t>견   적   서</t>
    <phoneticPr fontId="6" type="noConversion"/>
  </si>
  <si>
    <t>견적번호</t>
    <phoneticPr fontId="6" type="noConversion"/>
  </si>
  <si>
    <t>* 발행일로부터 30일간 유효합니다</t>
    <phoneticPr fontId="6" type="noConversion"/>
  </si>
  <si>
    <t>* 아래와 같이 견적합니다</t>
    <phoneticPr fontId="6" type="noConversion"/>
  </si>
  <si>
    <t>품 명</t>
    <phoneticPr fontId="6" type="noConversion"/>
  </si>
  <si>
    <t>제  품  사  양</t>
    <phoneticPr fontId="6" type="noConversion"/>
  </si>
  <si>
    <t>수량</t>
    <phoneticPr fontId="6" type="noConversion"/>
  </si>
  <si>
    <t>단위</t>
    <phoneticPr fontId="6" type="noConversion"/>
  </si>
  <si>
    <t>공급단가(원)</t>
    <phoneticPr fontId="6" type="noConversion"/>
  </si>
  <si>
    <t>공급가(원)</t>
    <phoneticPr fontId="6" type="noConversion"/>
  </si>
  <si>
    <t>비 고</t>
    <phoneticPr fontId="6" type="noConversion"/>
  </si>
  <si>
    <t>소계</t>
    <phoneticPr fontId="2" type="noConversion"/>
  </si>
  <si>
    <t>수    신</t>
    <phoneticPr fontId="6" type="noConversion"/>
  </si>
  <si>
    <t>견 적 명</t>
    <phoneticPr fontId="6" type="noConversion"/>
  </si>
  <si>
    <t>M/M</t>
    <phoneticPr fontId="6" type="noConversion"/>
  </si>
  <si>
    <t>합  계</t>
    <phoneticPr fontId="2" type="noConversion"/>
  </si>
  <si>
    <t>부가세</t>
    <phoneticPr fontId="2" type="noConversion"/>
  </si>
  <si>
    <t>총  계</t>
    <phoneticPr fontId="2" type="noConversion"/>
  </si>
  <si>
    <t>솔루션별 월별 사용료</t>
    <phoneticPr fontId="6" type="noConversion"/>
  </si>
  <si>
    <t>세부 품목</t>
    <phoneticPr fontId="2" type="noConversion"/>
  </si>
  <si>
    <t>구축비</t>
    <phoneticPr fontId="2" type="noConversion"/>
  </si>
  <si>
    <t>M/M</t>
    <phoneticPr fontId="2" type="noConversion"/>
  </si>
  <si>
    <t>구축비 총합</t>
    <phoneticPr fontId="2" type="noConversion"/>
  </si>
  <si>
    <t>솔루션사업부 이상우 이사</t>
    <phoneticPr fontId="6" type="noConversion"/>
  </si>
  <si>
    <t>swlee@timbel.net, 010-8192-2222</t>
    <phoneticPr fontId="6" type="noConversion"/>
  </si>
  <si>
    <t>상담 어드바이저 구축 견적서</t>
    <phoneticPr fontId="6" type="noConversion"/>
  </si>
  <si>
    <t>채널</t>
    <phoneticPr fontId="2" type="noConversion"/>
  </si>
  <si>
    <t>채널</t>
    <phoneticPr fontId="6" type="noConversion"/>
  </si>
  <si>
    <t>기간계 연동</t>
    <phoneticPr fontId="2" type="noConversion"/>
  </si>
  <si>
    <t>* 지식베이스 구축
- 지식(문서)분석 및 수집
- 지식분류체계 설계
- 지식문서 마이그레이션
- 지식 항목별 표준템플릿 작성
- 의도별 지식 매핑</t>
    <phoneticPr fontId="6" type="noConversion"/>
  </si>
  <si>
    <t>* 기간계 연동
- 연동대상 및 방식 협의
- 인터페이스 설계
- 연계모듈 개발 및 환경설정
- 연동 테스트</t>
    <phoneticPr fontId="6" type="noConversion"/>
  </si>
  <si>
    <t>식</t>
    <phoneticPr fontId="2" type="noConversion"/>
  </si>
  <si>
    <t>비고</t>
    <phoneticPr fontId="6" type="noConversion"/>
  </si>
  <si>
    <t>ECP-AI Admin 구축</t>
    <phoneticPr fontId="2" type="noConversion"/>
  </si>
  <si>
    <t>RAG 컨텍스트 엔지니어링</t>
    <phoneticPr fontId="2" type="noConversion"/>
  </si>
  <si>
    <t>STT 모델 학습</t>
    <phoneticPr fontId="2" type="noConversion"/>
  </si>
  <si>
    <t>식</t>
    <phoneticPr fontId="6" type="noConversion"/>
  </si>
  <si>
    <t xml:space="preserve">* AI Admin 구축
- 조직/계정/권한/상담사 관리
- 메뉴 관리, 보고서 관리 
- 서비스 통합 UI 구성 </t>
    <phoneticPr fontId="6" type="noConversion"/>
  </si>
  <si>
    <t>RAG 컨텍스트 
엔지니어링</t>
    <phoneticPr fontId="2" type="noConversion"/>
  </si>
  <si>
    <t>* RAG 컨텍스트 엔지니어링
- RAG 파이프라인 구성
- 프롬프트 엔지니어링</t>
    <phoneticPr fontId="6" type="noConversion"/>
  </si>
  <si>
    <t>* STT 모델 학습
- 전사 100시간 학습
- 음성 녹취데이터 가공·전사
- 음향 모델 생성
- 학습·인식률 평가</t>
    <phoneticPr fontId="6" type="noConversion"/>
  </si>
  <si>
    <t>구분</t>
    <phoneticPr fontId="2" type="noConversion"/>
  </si>
  <si>
    <t>서버
Type</t>
    <phoneticPr fontId="2" type="noConversion"/>
  </si>
  <si>
    <t>탑재 서비스</t>
    <phoneticPr fontId="2" type="noConversion"/>
  </si>
  <si>
    <t>OS</t>
    <phoneticPr fontId="2" type="noConversion"/>
  </si>
  <si>
    <r>
      <t xml:space="preserve">CPU
</t>
    </r>
    <r>
      <rPr>
        <sz val="12"/>
        <color theme="1"/>
        <rFont val="맑은 고딕"/>
        <family val="3"/>
        <charset val="129"/>
        <scheme val="minor"/>
      </rPr>
      <t>(Core)</t>
    </r>
    <phoneticPr fontId="2" type="noConversion"/>
  </si>
  <si>
    <r>
      <t xml:space="preserve">RAM
</t>
    </r>
    <r>
      <rPr>
        <sz val="12"/>
        <color theme="1"/>
        <rFont val="맑은 고딕"/>
        <family val="3"/>
        <charset val="129"/>
        <scheme val="minor"/>
      </rPr>
      <t>(GB)</t>
    </r>
    <phoneticPr fontId="2" type="noConversion"/>
  </si>
  <si>
    <r>
      <t xml:space="preserve">Disk
</t>
    </r>
    <r>
      <rPr>
        <sz val="12"/>
        <color theme="1"/>
        <rFont val="맑은 고딕"/>
        <family val="3"/>
        <charset val="129"/>
        <scheme val="minor"/>
      </rPr>
      <t>(OS 파티션
SSD/GB)</t>
    </r>
    <phoneticPr fontId="2" type="noConversion"/>
  </si>
  <si>
    <r>
      <t xml:space="preserve">Disk 
</t>
    </r>
    <r>
      <rPr>
        <sz val="12"/>
        <color theme="1"/>
        <rFont val="맑은 고딕"/>
        <family val="3"/>
        <charset val="129"/>
        <scheme val="minor"/>
      </rPr>
      <t>(Data 파티션 SSD/GB)</t>
    </r>
    <phoneticPr fontId="2" type="noConversion"/>
  </si>
  <si>
    <r>
      <t xml:space="preserve">Disk
</t>
    </r>
    <r>
      <rPr>
        <sz val="12"/>
        <color theme="1"/>
        <rFont val="맑은 고딕"/>
        <family val="3"/>
        <charset val="129"/>
        <scheme val="minor"/>
      </rPr>
      <t>(공용 파티션HDD-SAS/GB)</t>
    </r>
    <phoneticPr fontId="2" type="noConversion"/>
  </si>
  <si>
    <r>
      <t xml:space="preserve">수량
</t>
    </r>
    <r>
      <rPr>
        <sz val="12"/>
        <color theme="1"/>
        <rFont val="맑은 고딕"/>
        <family val="3"/>
        <charset val="129"/>
        <scheme val="minor"/>
      </rPr>
      <t>(서버)</t>
    </r>
    <phoneticPr fontId="2" type="noConversion"/>
  </si>
  <si>
    <t>GPU</t>
    <phoneticPr fontId="2" type="noConversion"/>
  </si>
  <si>
    <r>
      <t xml:space="preserve">GPU 
</t>
    </r>
    <r>
      <rPr>
        <sz val="12"/>
        <color theme="1"/>
        <rFont val="맑은 고딕"/>
        <family val="3"/>
        <charset val="129"/>
        <scheme val="minor"/>
      </rPr>
      <t>RAM(GB)</t>
    </r>
    <phoneticPr fontId="2" type="noConversion"/>
  </si>
  <si>
    <r>
      <t xml:space="preserve">서버당
GPU수량
</t>
    </r>
    <r>
      <rPr>
        <sz val="12"/>
        <color theme="1"/>
        <rFont val="맑은 고딕"/>
        <family val="3"/>
        <charset val="129"/>
        <scheme val="minor"/>
      </rPr>
      <t>(개)</t>
    </r>
    <phoneticPr fontId="2" type="noConversion"/>
  </si>
  <si>
    <t>가격</t>
    <phoneticPr fontId="2" type="noConversion"/>
  </si>
  <si>
    <t>총합</t>
    <phoneticPr fontId="2" type="noConversion"/>
  </si>
  <si>
    <t>비고</t>
    <phoneticPr fontId="2" type="noConversion"/>
  </si>
  <si>
    <t>Rocky
9.7</t>
    <phoneticPr fontId="2" type="noConversion"/>
  </si>
  <si>
    <t>-</t>
    <phoneticPr fontId="2" type="noConversion"/>
  </si>
  <si>
    <t>L4</t>
    <phoneticPr fontId="2" type="noConversion"/>
  </si>
  <si>
    <t>음성/텍스트 처리 서버</t>
    <phoneticPr fontId="2" type="noConversion"/>
  </si>
  <si>
    <t>CPU</t>
    <phoneticPr fontId="2" type="noConversion"/>
  </si>
  <si>
    <t>KMS/RAG 서버</t>
    <phoneticPr fontId="2" type="noConversion"/>
  </si>
  <si>
    <t>-</t>
  </si>
  <si>
    <t>Pro6000</t>
    <phoneticPr fontId="2" type="noConversion"/>
  </si>
  <si>
    <t>- DB:1000
- 기타:1000</t>
    <phoneticPr fontId="2" type="noConversion"/>
  </si>
  <si>
    <t>KMS, 벡터검색, 벡터DB.</t>
    <phoneticPr fontId="2" type="noConversion"/>
  </si>
  <si>
    <t>- 데이터 저장,로드밸런싱, API라우팅
- 인증관리, 네트워크 스토리지</t>
    <phoneticPr fontId="2" type="noConversion"/>
  </si>
  <si>
    <t>L40s</t>
    <phoneticPr fontId="2" type="noConversion"/>
  </si>
  <si>
    <t>콜봇
Channel License</t>
    <phoneticPr fontId="2" type="noConversion"/>
  </si>
  <si>
    <t>STT
Engine License</t>
    <phoneticPr fontId="2" type="noConversion"/>
  </si>
  <si>
    <t>STT
Channel License</t>
    <phoneticPr fontId="2" type="noConversion"/>
  </si>
  <si>
    <t xml:space="preserve">*엔진 라이선스 무상제공 </t>
    <phoneticPr fontId="2" type="noConversion"/>
  </si>
  <si>
    <t>에이전트-워크플로우
Site License</t>
    <phoneticPr fontId="2" type="noConversion"/>
  </si>
  <si>
    <t>콜봇 채널 라이선스</t>
    <phoneticPr fontId="2" type="noConversion"/>
  </si>
  <si>
    <t>시나리오 에이전트 엔진</t>
    <phoneticPr fontId="2" type="noConversion"/>
  </si>
  <si>
    <t>*채널 라이선스(상담석 500석 기준)
*RX/TX 분리: 1,000 채널</t>
    <phoneticPr fontId="2" type="noConversion"/>
  </si>
  <si>
    <t>STT
Channel License
(RxTx 1,000 채널)</t>
    <phoneticPr fontId="2" type="noConversion"/>
  </si>
  <si>
    <t xml:space="preserve"> </t>
    <phoneticPr fontId="2" type="noConversion"/>
  </si>
  <si>
    <t>콜봇 구축</t>
    <phoneticPr fontId="2" type="noConversion"/>
  </si>
  <si>
    <t>콜봇 시나리오 구축</t>
    <phoneticPr fontId="2" type="noConversion"/>
  </si>
  <si>
    <t>특별 할인(40%)</t>
    <phoneticPr fontId="2" type="noConversion"/>
  </si>
  <si>
    <t>워크플로빌더 구축</t>
    <phoneticPr fontId="2" type="noConversion"/>
  </si>
  <si>
    <t>솔루션 라이선스 총합</t>
    <phoneticPr fontId="2" type="noConversion"/>
  </si>
  <si>
    <t>콜봇
Channel License</t>
    <phoneticPr fontId="6" type="noConversion"/>
  </si>
  <si>
    <t>에이전트-워크플로우Site License</t>
    <phoneticPr fontId="2" type="noConversion"/>
  </si>
  <si>
    <t>- 워크플로 빌더
- 시나리오 엔진</t>
    <phoneticPr fontId="2" type="noConversion"/>
  </si>
  <si>
    <t>STT 음성인식 엔진 라이선스
* End-To-End 알고리즘 기반 음성인식 엔진
* 8K 음성인식 
* 배치 및 실시간 API
* 관리자페이지 외</t>
    <phoneticPr fontId="2" type="noConversion"/>
  </si>
  <si>
    <t>워크플로우빌더 구축</t>
    <phoneticPr fontId="2" type="noConversion"/>
  </si>
  <si>
    <t xml:space="preserve"> * 녹취(Recording) 연동
 * 상담앱 연동</t>
    <phoneticPr fontId="6" type="noConversion"/>
  </si>
  <si>
    <t>상담앱 및 녹취 연동</t>
    <phoneticPr fontId="2" type="noConversion"/>
  </si>
  <si>
    <t>콜봇 채널 라이선스
- Virtual Agent 모듈
- Callbot Gateway 모듈
- STT/TTS 연계 모듈
- KMS 연계 모듈
- LLM/RAG 연계 모듈
- 시나리오 API 연동
- 대시보드/통계 모니터링</t>
    <phoneticPr fontId="2" type="noConversion"/>
  </si>
  <si>
    <t>* 콜봇 시나리오 설계 구축
- 기본시나리오/ 세부시나리오 설계
- 시나리오 대화 턴 설계
- 기존 상담 스크립트 및 로그 분석</t>
    <phoneticPr fontId="2" type="noConversion"/>
  </si>
  <si>
    <t>DB 서버</t>
    <phoneticPr fontId="2" type="noConversion"/>
  </si>
  <si>
    <t>-PostgreSQL</t>
    <phoneticPr fontId="2" type="noConversion"/>
  </si>
  <si>
    <t>-Redis
-MinIO
-Nginx
-API G/W
-Auth
-Storage</t>
    <phoneticPr fontId="2" type="noConversion"/>
  </si>
  <si>
    <t>공통 서비스 서버
(Redis,MinIO,Nginx·
API G/W·
Auth, Storage)</t>
    <phoneticPr fontId="2" type="noConversion"/>
  </si>
  <si>
    <t>DB 서버
- DB이중화 필요시 MCCS 이중화 솔루션 필요</t>
    <phoneticPr fontId="2" type="noConversion"/>
  </si>
  <si>
    <t>* 100시간 음성파일 전사</t>
    <phoneticPr fontId="2" type="noConversion"/>
  </si>
  <si>
    <t>콜봇 STT/TTS 서버</t>
    <phoneticPr fontId="2" type="noConversion"/>
  </si>
  <si>
    <t xml:space="preserve">음성/텍스트, 음성합성 처리 서버 </t>
    <phoneticPr fontId="2" type="noConversion"/>
  </si>
  <si>
    <t>-STT
-TTS</t>
    <phoneticPr fontId="2" type="noConversion"/>
  </si>
  <si>
    <t>-STT</t>
    <phoneticPr fontId="2" type="noConversion"/>
  </si>
  <si>
    <t>-KMS/RAG</t>
    <phoneticPr fontId="2" type="noConversion"/>
  </si>
  <si>
    <t>워크플로우빌더/NLP 서버</t>
    <phoneticPr fontId="2" type="noConversion"/>
  </si>
  <si>
    <t xml:space="preserve">-워크플로우 빌더
-NLP </t>
    <phoneticPr fontId="2" type="noConversion"/>
  </si>
  <si>
    <t>STT/TTS 서버</t>
    <phoneticPr fontId="2" type="noConversion"/>
  </si>
  <si>
    <t>-STT(콜봇)
-TTS(콜봇)
-STT(어드바이저)</t>
    <phoneticPr fontId="2" type="noConversion"/>
  </si>
  <si>
    <t>* 상담어드바이저 구축
- 대화엔진 연동
- 생성형 AI 연동
- 상담 유형 분류 체계 구성
- AICM 연동</t>
    <phoneticPr fontId="6" type="noConversion"/>
  </si>
  <si>
    <t>* 콜봇 구축
- 콜인프라분석
- 콜인프라 연동
- 생성형AI 연동
- STT/TTS 연동
- 보안,음향,성능 등 점검
- 녹취· 테스트 및 모니터링</t>
    <phoneticPr fontId="2" type="noConversion"/>
  </si>
  <si>
    <t>sLLM 서버</t>
    <phoneticPr fontId="2" type="noConversion"/>
  </si>
  <si>
    <t>sLLM</t>
    <phoneticPr fontId="2" type="noConversion"/>
  </si>
  <si>
    <t>SSG 콜봇_STT_sLLM 견적서</t>
    <phoneticPr fontId="2" type="noConversion"/>
  </si>
  <si>
    <t>sLLM 관리 플랫폼
Site License</t>
    <phoneticPr fontId="2" type="noConversion"/>
  </si>
  <si>
    <t>LLM DASH
(sLLM 서빙·운영관리 플랫폼)</t>
    <phoneticPr fontId="2" type="noConversion"/>
  </si>
  <si>
    <t>*채널 라이선스
(상담석 500석 기준)
*RX/TX 분리: 1,000 채널</t>
    <phoneticPr fontId="2" type="noConversion"/>
  </si>
  <si>
    <t>STT 구축</t>
    <phoneticPr fontId="2" type="noConversion"/>
  </si>
  <si>
    <t>AI KMS 지식베이스 구축</t>
    <phoneticPr fontId="2" type="noConversion"/>
  </si>
  <si>
    <t>sLLM 관리 플랫폼
Site License</t>
    <phoneticPr fontId="2" type="noConversion"/>
  </si>
  <si>
    <t>* VLLM서빙: LLM Gateway
* LLM 프로바이더: LLM API 관리
* 사용자별 Rate-limit 관리
* 라우팅엔진
* 동적로드밸런싱
* 세션관리 모듈
* 장애대응 관리 모듈
* 실시간 스트리밍
* 모니터링
* 모델 버전관리
* 콜봇 연동 지원</t>
    <phoneticPr fontId="2" type="noConversion"/>
  </si>
  <si>
    <t>STT
Channel License(500석 1000채널)
음성인식 채널 라이선스
* 배치 및 실시간 API
* 관리자페이지 외
* S/W Spec.
  - Inc. Concurrent Channel License 
  - Linux</t>
    <phoneticPr fontId="2" type="noConversion"/>
  </si>
  <si>
    <t xml:space="preserve">(콜센터 상담어드바이저 500석 + 콜봇 45채널) H/W 및 OS </t>
    <phoneticPr fontId="6" type="noConversion"/>
  </si>
  <si>
    <t>공통 서비스 서버
(Redis,MinIO,Nginx·
API G/W·
Auth, LLM Dash, Storage)</t>
    <phoneticPr fontId="2" type="noConversion"/>
  </si>
  <si>
    <t>- 이중화 시 L4 스위치 필요(고객지원)
- 데이터 저장,로드밸런싱, API라우팅
- 인증관리, 
- LLM Dash
- 네트워크 스토리지(NAS)</t>
    <phoneticPr fontId="2" type="noConversion"/>
  </si>
  <si>
    <t>NLP 자연어 처리
워크플로우 빌더(콜봇)
- 이중화 시 L4 스위치 필요(고객지원)</t>
    <phoneticPr fontId="2" type="noConversion"/>
  </si>
  <si>
    <t>AI KMS 
지식베이스 구축</t>
    <phoneticPr fontId="2" type="noConversion"/>
  </si>
  <si>
    <t>* STT 설치
-솔루션 납품 설치 및 구축</t>
    <phoneticPr fontId="6" type="noConversion"/>
  </si>
  <si>
    <t>* 기간계 연동 REST API 타입제공 시
   (TCP/IP 신규개발은 협의 필요)
* API 연동 개수 3개 이하
  (연동 범위에 따라 M/M 변동)</t>
    <phoneticPr fontId="2" type="noConversion"/>
  </si>
  <si>
    <t>* 100시간 음성파일 전사</t>
    <phoneticPr fontId="2" type="noConversion"/>
  </si>
  <si>
    <t>TTS
Engine License</t>
    <phoneticPr fontId="2" type="noConversion"/>
  </si>
  <si>
    <t xml:space="preserve">*TTS엔진 라이선스 무상제공 </t>
    <phoneticPr fontId="2" type="noConversion"/>
  </si>
  <si>
    <t>TTS
Channel License</t>
    <phoneticPr fontId="2" type="noConversion"/>
  </si>
  <si>
    <t>*채널 라이선스(콜봇 45채널 기준)</t>
    <phoneticPr fontId="2" type="noConversion"/>
  </si>
  <si>
    <t>TTS
콜봇용 45채널</t>
    <phoneticPr fontId="2" type="noConversion"/>
  </si>
  <si>
    <t>TTS 음성합성 엔진 라이선스
* 음성합성 및 관리시스템 통합형
* 최신 음성합성 알고리즘이 적용된 음성합성 엔진 적용
* GPU기반 멀티채널 음성합성 서비스</t>
    <phoneticPr fontId="2" type="noConversion"/>
  </si>
  <si>
    <t xml:space="preserve">*STT엔진 라이선스 무상제공 </t>
    <phoneticPr fontId="2" type="noConversion"/>
  </si>
  <si>
    <t>*채널 라이선스(콜봇 45채널 내 포함)</t>
    <phoneticPr fontId="2" type="noConversion"/>
  </si>
  <si>
    <t>음성합성 한국어 채널 라이선스
* 배치 및 실시간 API
* 관리자페이지 외
* S/W Spec:Inc. 콜봇용 채널 License (45 CH)</t>
    <phoneticPr fontId="2" type="noConversion"/>
  </si>
  <si>
    <t>온프레미스 sLLM
(Model: Qwen3.6-27B-FP8 )</t>
    <phoneticPr fontId="2" type="noConversion"/>
  </si>
  <si>
    <t>NLP, 워크플로우 빌더 서버</t>
    <phoneticPr fontId="2" type="noConversion"/>
  </si>
  <si>
    <t>-NLP
-워크플로우 빌더</t>
    <phoneticPr fontId="2" type="noConversion"/>
  </si>
  <si>
    <t xml:space="preserve">온프레미스 sLLM
(Model:Qwen3.6-27B-FP8) </t>
    <phoneticPr fontId="2" type="noConversion"/>
  </si>
  <si>
    <t>(콜센터 상담어드바이저 500석 + 콜봇 45채널) H/W 및 OS</t>
    <phoneticPr fontId="6" type="noConversion"/>
  </si>
  <si>
    <t>STT 서버</t>
    <phoneticPr fontId="2" type="noConversion"/>
  </si>
  <si>
    <t>- DB:500
- 기타:500</t>
    <phoneticPr fontId="2" type="noConversion"/>
  </si>
  <si>
    <t>-sLLM</t>
    <phoneticPr fontId="2" type="noConversion"/>
  </si>
  <si>
    <t>NLP 자연어 처리
워크플로우 빌더(콜봇)</t>
    <phoneticPr fontId="2" type="noConversion"/>
  </si>
  <si>
    <t>AC260908003</t>
    <phoneticPr fontId="2" type="noConversion"/>
  </si>
  <si>
    <t>박정후 과장님 귀하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</si>
</sst>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KoPubWorld돋움체 Medium"/>
      <family val="3"/>
      <charset val="129"/>
    </font>
    <font>
      <sz val="9"/>
      <color theme="0" tint="-0.499984740745262"/>
      <name val="KoPubWorld돋움체 Medium"/>
      <family val="3"/>
      <charset val="129"/>
    </font>
    <font>
      <b/>
      <sz val="28"/>
      <color rgb="FF000000"/>
      <name val="KoPubWorld돋움체 Medium"/>
      <family val="3"/>
      <charset val="129"/>
    </font>
    <font>
      <sz val="8"/>
      <name val="돋움"/>
      <family val="3"/>
      <charset val="129"/>
    </font>
    <font>
      <b/>
      <sz val="14"/>
      <color theme="1" tint="0.249977111117893"/>
      <name val="KoPubWorld돋움체 Medium"/>
      <family val="3"/>
      <charset val="129"/>
    </font>
    <font>
      <sz val="14"/>
      <color theme="1" tint="0.249977111117893"/>
      <name val="KoPubWorld돋움체 Medium"/>
      <family val="3"/>
      <charset val="129"/>
    </font>
    <font>
      <b/>
      <sz val="9"/>
      <color indexed="8"/>
      <name val="KoPubWorld돋움체 Medium"/>
      <family val="3"/>
      <charset val="129"/>
    </font>
    <font>
      <b/>
      <sz val="8"/>
      <color indexed="8"/>
      <name val="KoPubWorld돋움체 Medium"/>
      <family val="3"/>
      <charset val="129"/>
    </font>
    <font>
      <sz val="9"/>
      <color indexed="8"/>
      <name val="KoPubWorld돋움체 Medium"/>
      <family val="3"/>
      <charset val="129"/>
    </font>
    <font>
      <sz val="10"/>
      <color indexed="8"/>
      <name val="KoPubWorld돋움체 Medium"/>
      <family val="3"/>
      <charset val="129"/>
    </font>
    <font>
      <sz val="12"/>
      <color indexed="8"/>
      <name val="KoPub돋움체 Medium"/>
      <family val="3"/>
      <charset val="129"/>
    </font>
    <font>
      <sz val="12"/>
      <color theme="1" tint="0.499984740745262"/>
      <name val="KoPubWorld돋움체 Medium"/>
      <family val="3"/>
      <charset val="129"/>
    </font>
    <font>
      <sz val="6"/>
      <color indexed="8"/>
      <name val="KoPubWorld돋움체 Medium"/>
      <family val="3"/>
      <charset val="129"/>
    </font>
    <font>
      <b/>
      <sz val="6"/>
      <color indexed="8"/>
      <name val="KoPubWorld돋움체 Medium"/>
      <family val="3"/>
      <charset val="129"/>
    </font>
    <font>
      <sz val="12"/>
      <color theme="1" tint="0.34998626667073579"/>
      <name val="KoPub돋움체 Medium"/>
      <family val="3"/>
      <charset val="129"/>
    </font>
    <font>
      <b/>
      <sz val="16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6"/>
      <color theme="1"/>
      <name val="KoPub돋움체 Medium"/>
      <family val="1"/>
      <charset val="129"/>
    </font>
    <font>
      <b/>
      <sz val="14"/>
      <color rgb="FFFF0000"/>
      <name val="KoPubWorld돋움체 Medium"/>
      <family val="3"/>
      <charset val="129"/>
    </font>
    <font>
      <sz val="14"/>
      <color theme="1"/>
      <name val="맑은 고딕"/>
      <family val="2"/>
      <charset val="129"/>
      <scheme val="minor"/>
    </font>
    <font>
      <sz val="12"/>
      <name val="KoPub돋움체 Medium"/>
      <family val="3"/>
      <charset val="129"/>
    </font>
    <font>
      <b/>
      <sz val="32"/>
      <color rgb="FF000000"/>
      <name val="KoPubWorld돋움체 Medium"/>
      <family val="3"/>
      <charset val="129"/>
    </font>
    <font>
      <sz val="32"/>
      <color theme="1"/>
      <name val="맑은 고딕"/>
      <family val="2"/>
      <charset val="129"/>
      <scheme val="minor"/>
    </font>
    <font>
      <sz val="14"/>
      <name val="KoPubWorld돋움체 Medium"/>
      <family val="3"/>
      <charset val="129"/>
    </font>
    <font>
      <b/>
      <u/>
      <sz val="20"/>
      <color theme="1"/>
      <name val="KoPubWorld돋움체 Medium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u/>
      <sz val="12"/>
      <color theme="10"/>
      <name val="맑은 고딕"/>
      <family val="3"/>
      <charset val="129"/>
      <scheme val="minor"/>
    </font>
    <font>
      <b/>
      <sz val="16"/>
      <color rgb="FFFF0000"/>
      <name val="KoPubWorld돋움체 Medium"/>
      <family val="3"/>
      <charset val="129"/>
    </font>
    <font>
      <b/>
      <sz val="20"/>
      <color theme="1"/>
      <name val="KoPubWorld돋움체 Bold"/>
      <family val="3"/>
      <charset val="129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rgb="FFFF0000"/>
      <name val="KoPubWorld돋움체 Medium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5"/>
        <bgColor indexed="0"/>
      </patternFill>
    </fill>
    <fill>
      <patternFill patternType="solid">
        <fgColor theme="3" tint="0.749992370372631"/>
        <bgColor indexed="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C5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1" tint="0.24994659260841701"/>
      </top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/>
      <top style="thin">
        <color theme="1" tint="0.499984740745262"/>
      </top>
      <bottom/>
      <diagonal/>
    </border>
    <border>
      <left style="medium">
        <color theme="0" tint="-0.499984740745262"/>
      </left>
      <right/>
      <top style="thin">
        <color indexed="64"/>
      </top>
      <bottom/>
      <diagonal/>
    </border>
    <border>
      <left style="medium">
        <color theme="0" tint="-0.499984740745262"/>
      </left>
      <right/>
      <top style="thin">
        <color theme="1" tint="0.24994659260841701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1" tint="0.24994659260841701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 style="thin">
        <color theme="0" tint="-0.24994659260841701"/>
      </bottom>
      <diagonal/>
    </border>
    <border>
      <left style="thick">
        <color theme="1" tint="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1" tint="0.499984740745262"/>
      </left>
      <right/>
      <top style="thin">
        <color auto="1"/>
      </top>
      <bottom style="thin">
        <color auto="1"/>
      </bottom>
      <diagonal/>
    </border>
    <border>
      <left/>
      <right style="thick">
        <color theme="1" tint="0.499984740745262"/>
      </right>
      <top style="thin">
        <color auto="1"/>
      </top>
      <bottom style="thin">
        <color auto="1"/>
      </bottom>
      <diagonal/>
    </border>
    <border>
      <left style="thick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 tint="0.499984740745262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n">
        <color indexed="64"/>
      </right>
      <top style="thin">
        <color indexed="64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/>
      </top>
      <bottom style="thin">
        <color auto="1"/>
      </bottom>
      <diagonal/>
    </border>
    <border>
      <left/>
      <right style="medium">
        <color indexed="64"/>
      </right>
      <top style="thin">
        <color theme="1" tint="0.499984740745262"/>
      </top>
      <bottom/>
      <diagonal/>
    </border>
    <border>
      <left/>
      <right style="medium">
        <color indexed="64"/>
      </right>
      <top style="thin">
        <color theme="1" tint="0.499984740745262"/>
      </top>
      <bottom style="thin">
        <color auto="1"/>
      </bottom>
      <diagonal/>
    </border>
    <border>
      <left style="medium">
        <color indexed="64"/>
      </left>
      <right/>
      <top style="thin">
        <color theme="1"/>
      </top>
      <bottom style="thin">
        <color auto="1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n">
        <color indexed="64"/>
      </top>
      <bottom style="thick">
        <color theme="1" tint="0.499984740745262"/>
      </bottom>
      <diagonal/>
    </border>
    <border>
      <left/>
      <right/>
      <top style="thin">
        <color indexed="64"/>
      </top>
      <bottom style="thick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auto="1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294">
    <xf numFmtId="0" fontId="0" fillId="0" borderId="0" xfId="0">
      <alignment vertical="center"/>
    </xf>
    <xf numFmtId="0" fontId="19" fillId="0" borderId="5" xfId="1" applyNumberFormat="1" applyFont="1" applyFill="1" applyBorder="1" applyAlignment="1">
      <alignment horizontal="center" vertical="center"/>
    </xf>
    <xf numFmtId="41" fontId="19" fillId="0" borderId="5" xfId="1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3" fillId="2" borderId="13" xfId="0" applyFont="1" applyFill="1" applyBorder="1" applyAlignment="1"/>
    <xf numFmtId="0" fontId="3" fillId="2" borderId="14" xfId="0" applyFont="1" applyFill="1" applyBorder="1" applyAlignment="1"/>
    <xf numFmtId="0" fontId="3" fillId="2" borderId="14" xfId="0" applyFont="1" applyFill="1" applyBorder="1" applyAlignment="1">
      <alignment horizontal="center"/>
    </xf>
    <xf numFmtId="0" fontId="0" fillId="2" borderId="14" xfId="0" applyFill="1" applyBorder="1">
      <alignment vertical="center"/>
    </xf>
    <xf numFmtId="14" fontId="4" fillId="2" borderId="15" xfId="0" applyNumberFormat="1" applyFont="1" applyFill="1" applyBorder="1" applyAlignment="1"/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0" xfId="0" applyFont="1" applyFill="1">
      <alignment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16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17" fillId="2" borderId="17" xfId="0" applyFont="1" applyFill="1" applyBorder="1" applyAlignment="1">
      <alignment horizontal="right" vertical="center"/>
    </xf>
    <xf numFmtId="0" fontId="19" fillId="0" borderId="35" xfId="0" applyFont="1" applyBorder="1" applyAlignment="1">
      <alignment horizontal="center" vertical="center" wrapText="1"/>
    </xf>
    <xf numFmtId="0" fontId="19" fillId="0" borderId="40" xfId="1" applyNumberFormat="1" applyFont="1" applyFill="1" applyBorder="1" applyAlignment="1">
      <alignment horizontal="center" vertical="center"/>
    </xf>
    <xf numFmtId="41" fontId="19" fillId="0" borderId="40" xfId="1" applyFont="1" applyFill="1" applyBorder="1" applyAlignment="1">
      <alignment horizontal="center" vertical="center"/>
    </xf>
    <xf numFmtId="0" fontId="19" fillId="0" borderId="35" xfId="1" applyNumberFormat="1" applyFont="1" applyFill="1" applyBorder="1" applyAlignment="1">
      <alignment horizontal="center" vertical="center"/>
    </xf>
    <xf numFmtId="41" fontId="19" fillId="0" borderId="35" xfId="1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/>
    </xf>
    <xf numFmtId="0" fontId="3" fillId="2" borderId="42" xfId="0" applyFont="1" applyFill="1" applyBorder="1" applyAlignment="1"/>
    <xf numFmtId="0" fontId="3" fillId="2" borderId="43" xfId="0" applyFont="1" applyFill="1" applyBorder="1" applyAlignment="1"/>
    <xf numFmtId="0" fontId="3" fillId="2" borderId="43" xfId="0" applyFont="1" applyFill="1" applyBorder="1" applyAlignment="1">
      <alignment horizontal="center"/>
    </xf>
    <xf numFmtId="0" fontId="0" fillId="2" borderId="43" xfId="0" applyFill="1" applyBorder="1">
      <alignment vertical="center"/>
    </xf>
    <xf numFmtId="0" fontId="3" fillId="2" borderId="44" xfId="0" applyFont="1" applyFill="1" applyBorder="1" applyAlignment="1"/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left" vertical="center"/>
    </xf>
    <xf numFmtId="0" fontId="14" fillId="2" borderId="45" xfId="0" applyFont="1" applyFill="1" applyBorder="1" applyAlignment="1">
      <alignment horizontal="left" vertical="center"/>
    </xf>
    <xf numFmtId="0" fontId="15" fillId="2" borderId="45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15" fillId="4" borderId="0" xfId="0" applyFont="1" applyFill="1" applyAlignment="1">
      <alignment horizontal="left" vertical="center"/>
    </xf>
    <xf numFmtId="0" fontId="13" fillId="4" borderId="46" xfId="0" applyFont="1" applyFill="1" applyBorder="1" applyAlignment="1">
      <alignment horizontal="left" vertical="center"/>
    </xf>
    <xf numFmtId="0" fontId="19" fillId="0" borderId="59" xfId="1" applyNumberFormat="1" applyFont="1" applyFill="1" applyBorder="1" applyAlignment="1">
      <alignment horizontal="center" vertical="center"/>
    </xf>
    <xf numFmtId="41" fontId="19" fillId="0" borderId="59" xfId="1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0" fontId="26" fillId="0" borderId="35" xfId="1" applyNumberFormat="1" applyFont="1" applyFill="1" applyBorder="1" applyAlignment="1">
      <alignment horizontal="center" vertical="center"/>
    </xf>
    <xf numFmtId="41" fontId="26" fillId="0" borderId="35" xfId="1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 wrapText="1"/>
    </xf>
    <xf numFmtId="0" fontId="19" fillId="2" borderId="35" xfId="1" applyNumberFormat="1" applyFont="1" applyFill="1" applyBorder="1" applyAlignment="1">
      <alignment horizontal="center" vertical="center"/>
    </xf>
    <xf numFmtId="41" fontId="19" fillId="2" borderId="35" xfId="1" applyFont="1" applyFill="1" applyBorder="1" applyAlignment="1">
      <alignment horizontal="center" vertical="center"/>
    </xf>
    <xf numFmtId="0" fontId="33" fillId="5" borderId="35" xfId="0" applyFont="1" applyFill="1" applyBorder="1" applyAlignment="1">
      <alignment horizontal="center" vertical="center"/>
    </xf>
    <xf numFmtId="0" fontId="33" fillId="5" borderId="35" xfId="0" applyFont="1" applyFill="1" applyBorder="1" applyAlignment="1">
      <alignment horizontal="center" vertical="center" wrapText="1"/>
    </xf>
    <xf numFmtId="0" fontId="33" fillId="3" borderId="35" xfId="0" applyFont="1" applyFill="1" applyBorder="1" applyAlignment="1">
      <alignment horizontal="center" vertical="center" wrapText="1"/>
    </xf>
    <xf numFmtId="0" fontId="33" fillId="2" borderId="35" xfId="0" applyFont="1" applyFill="1" applyBorder="1" applyAlignment="1">
      <alignment horizontal="center" vertical="center"/>
    </xf>
    <xf numFmtId="0" fontId="35" fillId="2" borderId="35" xfId="0" applyFont="1" applyFill="1" applyBorder="1" applyAlignment="1">
      <alignment horizontal="center" vertical="center" wrapText="1"/>
    </xf>
    <xf numFmtId="0" fontId="33" fillId="2" borderId="35" xfId="0" quotePrefix="1" applyFont="1" applyFill="1" applyBorder="1" applyAlignment="1">
      <alignment horizontal="center" vertical="center"/>
    </xf>
    <xf numFmtId="0" fontId="34" fillId="2" borderId="35" xfId="0" applyFont="1" applyFill="1" applyBorder="1" applyAlignment="1">
      <alignment horizontal="left" vertical="center" wrapText="1"/>
    </xf>
    <xf numFmtId="0" fontId="33" fillId="2" borderId="35" xfId="0" applyFont="1" applyFill="1" applyBorder="1" applyAlignment="1">
      <alignment horizontal="center" vertical="center" wrapText="1"/>
    </xf>
    <xf numFmtId="0" fontId="34" fillId="2" borderId="35" xfId="0" quotePrefix="1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3" fontId="33" fillId="2" borderId="35" xfId="0" applyNumberFormat="1" applyFont="1" applyFill="1" applyBorder="1" applyAlignment="1">
      <alignment horizontal="center" vertical="center"/>
    </xf>
    <xf numFmtId="41" fontId="33" fillId="2" borderId="35" xfId="1" applyFont="1" applyFill="1" applyBorder="1" applyAlignment="1">
      <alignment horizontal="center" vertical="center"/>
    </xf>
    <xf numFmtId="0" fontId="34" fillId="2" borderId="35" xfId="0" quotePrefix="1" applyFont="1" applyFill="1" applyBorder="1" applyAlignment="1">
      <alignment vertical="center" wrapText="1"/>
    </xf>
    <xf numFmtId="0" fontId="33" fillId="2" borderId="35" xfId="0" quotePrefix="1" applyFont="1" applyFill="1" applyBorder="1" applyAlignment="1">
      <alignment horizontal="center" vertical="center" wrapText="1"/>
    </xf>
    <xf numFmtId="0" fontId="26" fillId="0" borderId="35" xfId="0" quotePrefix="1" applyFont="1" applyBorder="1" applyAlignment="1">
      <alignment horizontal="center" vertical="center" wrapText="1"/>
    </xf>
    <xf numFmtId="0" fontId="19" fillId="0" borderId="35" xfId="0" quotePrefix="1" applyFont="1" applyBorder="1" applyAlignment="1">
      <alignment horizontal="center" vertical="center" wrapText="1"/>
    </xf>
    <xf numFmtId="0" fontId="26" fillId="2" borderId="35" xfId="0" applyFont="1" applyFill="1" applyBorder="1" applyAlignment="1">
      <alignment horizontal="center" vertical="center" wrapText="1"/>
    </xf>
    <xf numFmtId="0" fontId="26" fillId="2" borderId="35" xfId="1" applyNumberFormat="1" applyFont="1" applyFill="1" applyBorder="1" applyAlignment="1">
      <alignment horizontal="center" vertical="center"/>
    </xf>
    <xf numFmtId="41" fontId="26" fillId="2" borderId="35" xfId="1" applyFont="1" applyFill="1" applyBorder="1" applyAlignment="1">
      <alignment horizontal="center" vertical="center"/>
    </xf>
    <xf numFmtId="0" fontId="33" fillId="2" borderId="35" xfId="0" quotePrefix="1" applyFont="1" applyFill="1" applyBorder="1" applyAlignment="1">
      <alignment vertical="center" wrapText="1"/>
    </xf>
    <xf numFmtId="0" fontId="33" fillId="2" borderId="35" xfId="0" quotePrefix="1" applyFont="1" applyFill="1" applyBorder="1">
      <alignment vertical="center"/>
    </xf>
    <xf numFmtId="0" fontId="33" fillId="14" borderId="35" xfId="0" applyFont="1" applyFill="1" applyBorder="1" applyAlignment="1">
      <alignment horizontal="center" vertical="center" wrapText="1"/>
    </xf>
    <xf numFmtId="0" fontId="33" fillId="14" borderId="35" xfId="0" applyFont="1" applyFill="1" applyBorder="1" applyAlignment="1">
      <alignment horizontal="center" vertical="center"/>
    </xf>
    <xf numFmtId="0" fontId="35" fillId="14" borderId="35" xfId="0" applyFont="1" applyFill="1" applyBorder="1" applyAlignment="1">
      <alignment horizontal="center" vertical="center" wrapText="1"/>
    </xf>
    <xf numFmtId="0" fontId="33" fillId="14" borderId="35" xfId="0" quotePrefix="1" applyFont="1" applyFill="1" applyBorder="1" applyAlignment="1">
      <alignment horizontal="center" vertical="center"/>
    </xf>
    <xf numFmtId="0" fontId="34" fillId="14" borderId="35" xfId="0" applyFont="1" applyFill="1" applyBorder="1" applyAlignment="1">
      <alignment horizontal="left" vertical="center" wrapText="1"/>
    </xf>
    <xf numFmtId="42" fontId="19" fillId="0" borderId="65" xfId="0" applyNumberFormat="1" applyFont="1" applyBorder="1" applyAlignment="1">
      <alignment horizontal="center" vertical="center" wrapText="1"/>
    </xf>
    <xf numFmtId="42" fontId="19" fillId="0" borderId="50" xfId="0" applyNumberFormat="1" applyFont="1" applyBorder="1" applyAlignment="1">
      <alignment horizontal="center" vertical="center" wrapText="1"/>
    </xf>
    <xf numFmtId="42" fontId="26" fillId="0" borderId="65" xfId="0" applyNumberFormat="1" applyFont="1" applyBorder="1" applyAlignment="1">
      <alignment horizontal="center" vertical="center"/>
    </xf>
    <xf numFmtId="42" fontId="26" fillId="0" borderId="39" xfId="0" applyNumberFormat="1" applyFont="1" applyBorder="1" applyAlignment="1">
      <alignment horizontal="center" vertical="center"/>
    </xf>
    <xf numFmtId="42" fontId="26" fillId="0" borderId="66" xfId="0" applyNumberFormat="1" applyFont="1" applyBorder="1" applyAlignment="1">
      <alignment horizontal="center" vertical="center"/>
    </xf>
    <xf numFmtId="41" fontId="19" fillId="6" borderId="65" xfId="1" applyFont="1" applyFill="1" applyBorder="1" applyAlignment="1">
      <alignment horizontal="center" vertical="center"/>
    </xf>
    <xf numFmtId="41" fontId="19" fillId="6" borderId="39" xfId="1" applyFont="1" applyFill="1" applyBorder="1" applyAlignment="1">
      <alignment horizontal="center" vertical="center"/>
    </xf>
    <xf numFmtId="3" fontId="19" fillId="6" borderId="65" xfId="0" applyNumberFormat="1" applyFont="1" applyFill="1" applyBorder="1" applyAlignment="1">
      <alignment horizontal="center" vertical="center"/>
    </xf>
    <xf numFmtId="3" fontId="19" fillId="6" borderId="50" xfId="0" applyNumberFormat="1" applyFont="1" applyFill="1" applyBorder="1" applyAlignment="1">
      <alignment horizontal="center" vertical="center"/>
    </xf>
    <xf numFmtId="0" fontId="19" fillId="5" borderId="51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42" fontId="26" fillId="2" borderId="35" xfId="1" applyNumberFormat="1" applyFont="1" applyFill="1" applyBorder="1" applyAlignment="1">
      <alignment horizontal="right" vertical="center"/>
    </xf>
    <xf numFmtId="0" fontId="26" fillId="2" borderId="35" xfId="0" applyFont="1" applyFill="1" applyBorder="1">
      <alignment vertical="center"/>
    </xf>
    <xf numFmtId="42" fontId="26" fillId="2" borderId="65" xfId="0" applyNumberFormat="1" applyFont="1" applyFill="1" applyBorder="1" applyAlignment="1">
      <alignment horizontal="center" vertical="center"/>
    </xf>
    <xf numFmtId="42" fontId="26" fillId="2" borderId="39" xfId="0" applyNumberFormat="1" applyFont="1" applyFill="1" applyBorder="1" applyAlignment="1">
      <alignment horizontal="center" vertical="center"/>
    </xf>
    <xf numFmtId="42" fontId="26" fillId="2" borderId="66" xfId="0" applyNumberFormat="1" applyFont="1" applyFill="1" applyBorder="1" applyAlignment="1">
      <alignment horizontal="center" vertical="center"/>
    </xf>
    <xf numFmtId="42" fontId="26" fillId="0" borderId="65" xfId="1" applyNumberFormat="1" applyFont="1" applyFill="1" applyBorder="1" applyAlignment="1">
      <alignment horizontal="center" vertical="center"/>
    </xf>
    <xf numFmtId="42" fontId="26" fillId="0" borderId="50" xfId="1" applyNumberFormat="1" applyFont="1" applyFill="1" applyBorder="1" applyAlignment="1">
      <alignment horizontal="center" vertical="center"/>
    </xf>
    <xf numFmtId="41" fontId="21" fillId="6" borderId="65" xfId="1" applyFont="1" applyFill="1" applyBorder="1" applyAlignment="1">
      <alignment horizontal="center" vertical="center"/>
    </xf>
    <xf numFmtId="41" fontId="21" fillId="6" borderId="39" xfId="1" applyFont="1" applyFill="1" applyBorder="1" applyAlignment="1">
      <alignment horizontal="center" vertical="center"/>
    </xf>
    <xf numFmtId="3" fontId="21" fillId="6" borderId="65" xfId="0" applyNumberFormat="1" applyFont="1" applyFill="1" applyBorder="1" applyAlignment="1">
      <alignment horizontal="center" vertical="center"/>
    </xf>
    <xf numFmtId="3" fontId="21" fillId="6" borderId="50" xfId="0" applyNumberFormat="1" applyFont="1" applyFill="1" applyBorder="1" applyAlignment="1">
      <alignment horizontal="center" vertical="center"/>
    </xf>
    <xf numFmtId="42" fontId="36" fillId="0" borderId="65" xfId="1" applyNumberFormat="1" applyFont="1" applyFill="1" applyBorder="1" applyAlignment="1">
      <alignment horizontal="left" vertical="center"/>
    </xf>
    <xf numFmtId="42" fontId="36" fillId="0" borderId="50" xfId="1" applyNumberFormat="1" applyFont="1" applyFill="1" applyBorder="1" applyAlignment="1">
      <alignment horizontal="left" vertical="center"/>
    </xf>
    <xf numFmtId="42" fontId="19" fillId="2" borderId="65" xfId="1" applyNumberFormat="1" applyFont="1" applyFill="1" applyBorder="1" applyAlignment="1">
      <alignment horizontal="right" vertical="center"/>
    </xf>
    <xf numFmtId="42" fontId="19" fillId="2" borderId="66" xfId="1" applyNumberFormat="1" applyFont="1" applyFill="1" applyBorder="1" applyAlignment="1">
      <alignment horizontal="right" vertical="center"/>
    </xf>
    <xf numFmtId="42" fontId="19" fillId="2" borderId="65" xfId="0" applyNumberFormat="1" applyFont="1" applyFill="1" applyBorder="1">
      <alignment vertical="center"/>
    </xf>
    <xf numFmtId="42" fontId="19" fillId="2" borderId="39" xfId="0" applyNumberFormat="1" applyFont="1" applyFill="1" applyBorder="1">
      <alignment vertical="center"/>
    </xf>
    <xf numFmtId="42" fontId="19" fillId="2" borderId="66" xfId="0" applyNumberFormat="1" applyFont="1" applyFill="1" applyBorder="1">
      <alignment vertical="center"/>
    </xf>
    <xf numFmtId="42" fontId="19" fillId="2" borderId="65" xfId="1" applyNumberFormat="1" applyFont="1" applyFill="1" applyBorder="1" applyAlignment="1">
      <alignment horizontal="left" vertical="center"/>
    </xf>
    <xf numFmtId="42" fontId="19" fillId="2" borderId="50" xfId="1" applyNumberFormat="1" applyFont="1" applyFill="1" applyBorder="1" applyAlignment="1">
      <alignment horizontal="left" vertical="center"/>
    </xf>
    <xf numFmtId="42" fontId="19" fillId="0" borderId="35" xfId="1" applyNumberFormat="1" applyFont="1" applyFill="1" applyBorder="1" applyAlignment="1">
      <alignment horizontal="right" vertical="center"/>
    </xf>
    <xf numFmtId="0" fontId="19" fillId="0" borderId="35" xfId="0" applyFont="1" applyBorder="1">
      <alignment vertical="center"/>
    </xf>
    <xf numFmtId="42" fontId="19" fillId="0" borderId="35" xfId="0" applyNumberFormat="1" applyFont="1" applyBorder="1">
      <alignment vertical="center"/>
    </xf>
    <xf numFmtId="42" fontId="19" fillId="0" borderId="35" xfId="1" applyNumberFormat="1" applyFont="1" applyFill="1" applyBorder="1" applyAlignment="1">
      <alignment horizontal="left" vertical="center"/>
    </xf>
    <xf numFmtId="0" fontId="19" fillId="0" borderId="52" xfId="0" applyFont="1" applyBorder="1" applyAlignment="1">
      <alignment horizontal="left" vertical="center"/>
    </xf>
    <xf numFmtId="42" fontId="26" fillId="0" borderId="65" xfId="1" applyNumberFormat="1" applyFont="1" applyFill="1" applyBorder="1" applyAlignment="1">
      <alignment horizontal="left" vertical="center"/>
    </xf>
    <xf numFmtId="42" fontId="26" fillId="0" borderId="50" xfId="1" applyNumberFormat="1" applyFont="1" applyFill="1" applyBorder="1" applyAlignment="1">
      <alignment horizontal="left" vertical="center"/>
    </xf>
    <xf numFmtId="41" fontId="18" fillId="13" borderId="35" xfId="1" applyFont="1" applyFill="1" applyBorder="1" applyAlignment="1">
      <alignment horizontal="center" vertical="center"/>
    </xf>
    <xf numFmtId="41" fontId="18" fillId="13" borderId="52" xfId="1" applyFont="1" applyFill="1" applyBorder="1" applyAlignment="1">
      <alignment horizontal="center" vertical="center"/>
    </xf>
    <xf numFmtId="42" fontId="19" fillId="0" borderId="65" xfId="1" applyNumberFormat="1" applyFont="1" applyFill="1" applyBorder="1" applyAlignment="1">
      <alignment horizontal="right" vertical="center"/>
    </xf>
    <xf numFmtId="42" fontId="19" fillId="0" borderId="66" xfId="1" applyNumberFormat="1" applyFont="1" applyFill="1" applyBorder="1" applyAlignment="1">
      <alignment horizontal="right" vertical="center"/>
    </xf>
    <xf numFmtId="42" fontId="19" fillId="0" borderId="65" xfId="0" applyNumberFormat="1" applyFont="1" applyBorder="1">
      <alignment vertical="center"/>
    </xf>
    <xf numFmtId="42" fontId="19" fillId="0" borderId="39" xfId="0" applyNumberFormat="1" applyFont="1" applyBorder="1">
      <alignment vertical="center"/>
    </xf>
    <xf numFmtId="42" fontId="19" fillId="0" borderId="66" xfId="0" applyNumberFormat="1" applyFont="1" applyBorder="1">
      <alignment vertical="center"/>
    </xf>
    <xf numFmtId="0" fontId="7" fillId="4" borderId="48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1" fillId="2" borderId="49" xfId="0" applyFont="1" applyFill="1" applyBorder="1" applyAlignment="1">
      <alignment horizontal="left" vertical="center" wrapText="1"/>
    </xf>
    <xf numFmtId="0" fontId="31" fillId="2" borderId="39" xfId="0" applyFont="1" applyFill="1" applyBorder="1" applyAlignment="1">
      <alignment horizontal="left" vertical="center" wrapText="1"/>
    </xf>
    <xf numFmtId="0" fontId="31" fillId="2" borderId="50" xfId="0" applyFont="1" applyFill="1" applyBorder="1" applyAlignment="1">
      <alignment horizontal="left" vertical="center" wrapText="1"/>
    </xf>
    <xf numFmtId="176" fontId="18" fillId="13" borderId="35" xfId="0" applyNumberFormat="1" applyFont="1" applyFill="1" applyBorder="1" applyAlignment="1">
      <alignment horizontal="center" vertical="center"/>
    </xf>
    <xf numFmtId="0" fontId="20" fillId="5" borderId="65" xfId="0" applyFont="1" applyFill="1" applyBorder="1" applyAlignment="1">
      <alignment horizontal="center" vertical="center"/>
    </xf>
    <xf numFmtId="0" fontId="20" fillId="5" borderId="39" xfId="0" applyFont="1" applyFill="1" applyBorder="1" applyAlignment="1">
      <alignment horizontal="center" vertical="center"/>
    </xf>
    <xf numFmtId="0" fontId="20" fillId="5" borderId="66" xfId="0" applyFont="1" applyFill="1" applyBorder="1" applyAlignment="1">
      <alignment horizontal="center" vertical="center"/>
    </xf>
    <xf numFmtId="41" fontId="18" fillId="13" borderId="65" xfId="1" applyFont="1" applyFill="1" applyBorder="1" applyAlignment="1">
      <alignment horizontal="center" vertical="center"/>
    </xf>
    <xf numFmtId="41" fontId="18" fillId="13" borderId="50" xfId="1" applyFont="1" applyFill="1" applyBorder="1" applyAlignment="1">
      <alignment horizontal="center" vertical="center"/>
    </xf>
    <xf numFmtId="0" fontId="18" fillId="13" borderId="51" xfId="0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right" vertical="center"/>
    </xf>
    <xf numFmtId="0" fontId="23" fillId="4" borderId="46" xfId="0" applyFont="1" applyFill="1" applyBorder="1" applyAlignment="1">
      <alignment horizontal="right" vertical="center"/>
    </xf>
    <xf numFmtId="42" fontId="26" fillId="0" borderId="65" xfId="1" applyNumberFormat="1" applyFont="1" applyFill="1" applyBorder="1" applyAlignment="1">
      <alignment horizontal="right" vertical="center"/>
    </xf>
    <xf numFmtId="42" fontId="26" fillId="0" borderId="66" xfId="1" applyNumberFormat="1" applyFont="1" applyFill="1" applyBorder="1" applyAlignment="1">
      <alignment horizontal="right" vertical="center"/>
    </xf>
    <xf numFmtId="42" fontId="19" fillId="0" borderId="65" xfId="0" applyNumberFormat="1" applyFont="1" applyBorder="1" applyAlignment="1">
      <alignment horizontal="center" vertical="center"/>
    </xf>
    <xf numFmtId="42" fontId="19" fillId="0" borderId="39" xfId="0" applyNumberFormat="1" applyFont="1" applyBorder="1" applyAlignment="1">
      <alignment horizontal="center" vertical="center"/>
    </xf>
    <xf numFmtId="42" fontId="19" fillId="0" borderId="66" xfId="0" applyNumberFormat="1" applyFont="1" applyBorder="1" applyAlignment="1">
      <alignment horizontal="center" vertical="center"/>
    </xf>
    <xf numFmtId="42" fontId="36" fillId="0" borderId="65" xfId="1" quotePrefix="1" applyNumberFormat="1" applyFont="1" applyFill="1" applyBorder="1" applyAlignment="1">
      <alignment horizontal="left" vertical="center" wrapText="1"/>
    </xf>
    <xf numFmtId="42" fontId="36" fillId="0" borderId="50" xfId="1" quotePrefix="1" applyNumberFormat="1" applyFont="1" applyFill="1" applyBorder="1" applyAlignment="1">
      <alignment horizontal="left" vertical="center" wrapText="1"/>
    </xf>
    <xf numFmtId="0" fontId="26" fillId="0" borderId="67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19" fillId="0" borderId="66" xfId="0" applyFont="1" applyBorder="1" applyAlignment="1">
      <alignment horizontal="center" vertical="center" wrapText="1"/>
    </xf>
    <xf numFmtId="0" fontId="24" fillId="2" borderId="45" xfId="0" applyFont="1" applyFill="1" applyBorder="1" applyAlignment="1">
      <alignment horizontal="center" vertical="center"/>
    </xf>
    <xf numFmtId="0" fontId="25" fillId="2" borderId="0" xfId="0" applyFont="1" applyFill="1">
      <alignment vertical="center"/>
    </xf>
    <xf numFmtId="0" fontId="25" fillId="2" borderId="46" xfId="0" applyFont="1" applyFill="1" applyBorder="1">
      <alignment vertical="center"/>
    </xf>
    <xf numFmtId="0" fontId="7" fillId="4" borderId="47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19" fillId="0" borderId="45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21" fillId="5" borderId="51" xfId="0" applyFont="1" applyFill="1" applyBorder="1" applyAlignment="1">
      <alignment horizontal="center" vertical="center" wrapText="1"/>
    </xf>
    <xf numFmtId="0" fontId="29" fillId="4" borderId="0" xfId="2" applyFont="1" applyFill="1" applyBorder="1" applyAlignment="1">
      <alignment horizontal="right" vertical="center"/>
    </xf>
    <xf numFmtId="0" fontId="30" fillId="4" borderId="0" xfId="2" applyFont="1" applyFill="1" applyBorder="1" applyAlignment="1">
      <alignment horizontal="right" vertical="center"/>
    </xf>
    <xf numFmtId="0" fontId="30" fillId="4" borderId="46" xfId="2" applyFont="1" applyFill="1" applyBorder="1" applyAlignment="1">
      <alignment horizontal="right" vertical="center"/>
    </xf>
    <xf numFmtId="176" fontId="27" fillId="9" borderId="49" xfId="0" applyNumberFormat="1" applyFont="1" applyFill="1" applyBorder="1" applyAlignment="1">
      <alignment horizontal="center" vertical="center"/>
    </xf>
    <xf numFmtId="176" fontId="27" fillId="9" borderId="39" xfId="0" applyNumberFormat="1" applyFont="1" applyFill="1" applyBorder="1" applyAlignment="1">
      <alignment horizontal="center" vertical="center"/>
    </xf>
    <xf numFmtId="176" fontId="27" fillId="9" borderId="50" xfId="0" applyNumberFormat="1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3" fontId="21" fillId="6" borderId="68" xfId="0" applyNumberFormat="1" applyFont="1" applyFill="1" applyBorder="1" applyAlignment="1">
      <alignment horizontal="center" vertical="center"/>
    </xf>
    <xf numFmtId="3" fontId="21" fillId="6" borderId="69" xfId="0" applyNumberFormat="1" applyFont="1" applyFill="1" applyBorder="1" applyAlignment="1">
      <alignment horizontal="center" vertical="center"/>
    </xf>
    <xf numFmtId="41" fontId="19" fillId="6" borderId="65" xfId="1" applyFont="1" applyFill="1" applyBorder="1" applyAlignment="1">
      <alignment horizontal="right" vertical="center"/>
    </xf>
    <xf numFmtId="41" fontId="19" fillId="6" borderId="39" xfId="1" applyFont="1" applyFill="1" applyBorder="1" applyAlignment="1">
      <alignment horizontal="right" vertical="center"/>
    </xf>
    <xf numFmtId="41" fontId="19" fillId="6" borderId="66" xfId="1" applyFont="1" applyFill="1" applyBorder="1" applyAlignment="1">
      <alignment horizontal="right" vertical="center"/>
    </xf>
    <xf numFmtId="41" fontId="21" fillId="6" borderId="68" xfId="1" applyFont="1" applyFill="1" applyBorder="1" applyAlignment="1">
      <alignment horizontal="right" vertical="center"/>
    </xf>
    <xf numFmtId="41" fontId="21" fillId="6" borderId="70" xfId="1" applyFont="1" applyFill="1" applyBorder="1" applyAlignment="1">
      <alignment horizontal="right" vertical="center"/>
    </xf>
    <xf numFmtId="41" fontId="21" fillId="6" borderId="71" xfId="1" applyFont="1" applyFill="1" applyBorder="1" applyAlignment="1">
      <alignment horizontal="right" vertical="center"/>
    </xf>
    <xf numFmtId="42" fontId="26" fillId="0" borderId="35" xfId="1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42" fontId="19" fillId="0" borderId="57" xfId="0" applyNumberFormat="1" applyFont="1" applyBorder="1" applyAlignment="1">
      <alignment horizontal="right" vertical="center"/>
    </xf>
    <xf numFmtId="42" fontId="19" fillId="0" borderId="58" xfId="0" applyNumberFormat="1" applyFont="1" applyBorder="1" applyAlignment="1">
      <alignment horizontal="right" vertical="center"/>
    </xf>
    <xf numFmtId="42" fontId="19" fillId="0" borderId="56" xfId="0" applyNumberFormat="1" applyFont="1" applyBorder="1" applyAlignment="1">
      <alignment horizontal="right" vertical="center"/>
    </xf>
    <xf numFmtId="42" fontId="19" fillId="0" borderId="65" xfId="0" applyNumberFormat="1" applyFont="1" applyBorder="1" applyAlignment="1">
      <alignment horizontal="left" vertical="center" wrapText="1"/>
    </xf>
    <xf numFmtId="42" fontId="19" fillId="0" borderId="50" xfId="0" applyNumberFormat="1" applyFont="1" applyBorder="1" applyAlignment="1">
      <alignment horizontal="left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42" fontId="19" fillId="0" borderId="57" xfId="1" applyNumberFormat="1" applyFont="1" applyFill="1" applyBorder="1" applyAlignment="1">
      <alignment horizontal="right" vertical="center"/>
    </xf>
    <xf numFmtId="0" fontId="19" fillId="0" borderId="58" xfId="0" applyFont="1" applyBorder="1">
      <alignment vertical="center"/>
    </xf>
    <xf numFmtId="42" fontId="19" fillId="0" borderId="55" xfId="1" applyNumberFormat="1" applyFont="1" applyFill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/>
    </xf>
    <xf numFmtId="0" fontId="19" fillId="0" borderId="63" xfId="0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9" fillId="0" borderId="57" xfId="0" quotePrefix="1" applyFont="1" applyBorder="1" applyAlignment="1">
      <alignment horizontal="left" vertical="center" wrapText="1"/>
    </xf>
    <xf numFmtId="42" fontId="19" fillId="0" borderId="34" xfId="1" applyNumberFormat="1" applyFont="1" applyFill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/>
    </xf>
    <xf numFmtId="0" fontId="20" fillId="8" borderId="7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41" fontId="18" fillId="7" borderId="7" xfId="1" applyFont="1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0" borderId="12" xfId="0" applyFill="1" applyBorder="1">
      <alignment vertical="center"/>
    </xf>
    <xf numFmtId="0" fontId="0" fillId="10" borderId="25" xfId="0" applyFill="1" applyBorder="1">
      <alignment vertical="center"/>
    </xf>
    <xf numFmtId="0" fontId="18" fillId="7" borderId="20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176" fontId="18" fillId="7" borderId="7" xfId="0" applyNumberFormat="1" applyFont="1" applyFill="1" applyBorder="1" applyAlignment="1">
      <alignment horizontal="center" vertical="center"/>
    </xf>
    <xf numFmtId="0" fontId="0" fillId="8" borderId="4" xfId="0" applyFill="1" applyBorder="1">
      <alignment vertical="center"/>
    </xf>
    <xf numFmtId="0" fontId="24" fillId="2" borderId="16" xfId="0" applyFont="1" applyFill="1" applyBorder="1" applyAlignment="1">
      <alignment horizontal="center" vertical="center"/>
    </xf>
    <xf numFmtId="0" fontId="25" fillId="2" borderId="17" xfId="0" applyFont="1" applyFill="1" applyBorder="1">
      <alignment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8" fillId="11" borderId="13" xfId="0" quotePrefix="1" applyFont="1" applyFill="1" applyBorder="1" applyAlignment="1">
      <alignment horizontal="left" vertical="center" wrapText="1"/>
    </xf>
    <xf numFmtId="0" fontId="8" fillId="11" borderId="14" xfId="0" quotePrefix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8" fillId="11" borderId="16" xfId="0" quotePrefix="1" applyFont="1" applyFill="1" applyBorder="1" applyAlignment="1">
      <alignment horizontal="left" vertical="center" wrapText="1"/>
    </xf>
    <xf numFmtId="0" fontId="8" fillId="11" borderId="0" xfId="0" quotePrefix="1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11" borderId="28" xfId="0" quotePrefix="1" applyFont="1" applyFill="1" applyBorder="1" applyAlignment="1">
      <alignment horizontal="left" vertical="center" wrapText="1"/>
    </xf>
    <xf numFmtId="0" fontId="8" fillId="11" borderId="29" xfId="0" quotePrefix="1" applyFont="1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3" fontId="19" fillId="6" borderId="9" xfId="0" applyNumberFormat="1" applyFont="1" applyFill="1" applyBorder="1" applyAlignment="1">
      <alignment horizontal="right" vertical="center"/>
    </xf>
    <xf numFmtId="0" fontId="0" fillId="12" borderId="9" xfId="0" applyFill="1" applyBorder="1">
      <alignment vertical="center"/>
    </xf>
    <xf numFmtId="0" fontId="0" fillId="12" borderId="27" xfId="0" applyFill="1" applyBorder="1">
      <alignment vertical="center"/>
    </xf>
    <xf numFmtId="0" fontId="21" fillId="5" borderId="33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3" fontId="21" fillId="6" borderId="30" xfId="0" applyNumberFormat="1" applyFont="1" applyFill="1" applyBorder="1" applyAlignment="1">
      <alignment horizontal="right" vertical="center"/>
    </xf>
    <xf numFmtId="0" fontId="0" fillId="12" borderId="30" xfId="0" applyFill="1" applyBorder="1">
      <alignment vertical="center"/>
    </xf>
    <xf numFmtId="0" fontId="0" fillId="12" borderId="31" xfId="0" applyFill="1" applyBorder="1">
      <alignment vertical="center"/>
    </xf>
    <xf numFmtId="0" fontId="19" fillId="3" borderId="23" xfId="0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right" vertical="center"/>
    </xf>
    <xf numFmtId="42" fontId="22" fillId="3" borderId="10" xfId="0" applyNumberFormat="1" applyFont="1" applyFill="1" applyBorder="1">
      <alignment vertical="center"/>
    </xf>
    <xf numFmtId="0" fontId="22" fillId="3" borderId="1" xfId="0" applyFont="1" applyFill="1" applyBorder="1">
      <alignment vertical="center"/>
    </xf>
    <xf numFmtId="0" fontId="22" fillId="3" borderId="11" xfId="0" applyFont="1" applyFill="1" applyBorder="1">
      <alignment vertical="center"/>
    </xf>
    <xf numFmtId="0" fontId="22" fillId="3" borderId="26" xfId="0" applyFont="1" applyFill="1" applyBorder="1">
      <alignment vertical="center"/>
    </xf>
    <xf numFmtId="0" fontId="19" fillId="0" borderId="72" xfId="0" quotePrefix="1" applyFont="1" applyBorder="1" applyAlignment="1">
      <alignment horizontal="left" vertical="center" wrapText="1"/>
    </xf>
    <xf numFmtId="0" fontId="19" fillId="0" borderId="74" xfId="0" quotePrefix="1" applyFont="1" applyBorder="1" applyAlignment="1">
      <alignment horizontal="left" vertical="center" wrapText="1"/>
    </xf>
    <xf numFmtId="0" fontId="19" fillId="0" borderId="73" xfId="0" quotePrefix="1" applyFont="1" applyBorder="1" applyAlignment="1">
      <alignment horizontal="left" vertical="center" wrapText="1"/>
    </xf>
    <xf numFmtId="0" fontId="19" fillId="0" borderId="58" xfId="0" quotePrefix="1" applyFont="1" applyBorder="1" applyAlignment="1">
      <alignment horizontal="left" vertical="center" wrapText="1"/>
    </xf>
    <xf numFmtId="0" fontId="19" fillId="0" borderId="56" xfId="0" quotePrefix="1" applyFont="1" applyBorder="1" applyAlignment="1">
      <alignment horizontal="left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7" xfId="0" quotePrefix="1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42" fontId="19" fillId="0" borderId="7" xfId="1" applyNumberFormat="1" applyFont="1" applyFill="1" applyBorder="1" applyAlignment="1">
      <alignment horizontal="right" vertical="center"/>
    </xf>
    <xf numFmtId="0" fontId="19" fillId="0" borderId="4" xfId="0" applyFont="1" applyBorder="1">
      <alignment vertical="center"/>
    </xf>
    <xf numFmtId="42" fontId="19" fillId="0" borderId="7" xfId="0" applyNumberFormat="1" applyFont="1" applyBorder="1">
      <alignment vertical="center"/>
    </xf>
    <xf numFmtId="42" fontId="19" fillId="0" borderId="6" xfId="0" applyNumberFormat="1" applyFont="1" applyBorder="1">
      <alignment vertical="center"/>
    </xf>
    <xf numFmtId="42" fontId="19" fillId="0" borderId="4" xfId="0" applyNumberFormat="1" applyFont="1" applyBorder="1">
      <alignment vertical="center"/>
    </xf>
    <xf numFmtId="0" fontId="19" fillId="0" borderId="34" xfId="1" applyNumberFormat="1" applyFont="1" applyFill="1" applyBorder="1" applyAlignment="1">
      <alignment horizontal="left" vertical="center" wrapText="1"/>
    </xf>
    <xf numFmtId="0" fontId="19" fillId="0" borderId="36" xfId="1" applyNumberFormat="1" applyFont="1" applyFill="1" applyBorder="1" applyAlignment="1">
      <alignment horizontal="left" vertical="center" wrapText="1"/>
    </xf>
    <xf numFmtId="0" fontId="19" fillId="0" borderId="34" xfId="1" quotePrefix="1" applyNumberFormat="1" applyFont="1" applyFill="1" applyBorder="1" applyAlignment="1">
      <alignment horizontal="left" vertical="center" wrapText="1"/>
    </xf>
    <xf numFmtId="0" fontId="19" fillId="0" borderId="34" xfId="1" applyNumberFormat="1" applyFont="1" applyFill="1" applyBorder="1" applyAlignment="1">
      <alignment horizontal="center" vertical="center" wrapText="1"/>
    </xf>
    <xf numFmtId="0" fontId="19" fillId="0" borderId="36" xfId="1" applyNumberFormat="1" applyFont="1" applyFill="1" applyBorder="1" applyAlignment="1">
      <alignment horizontal="center" vertical="center" wrapText="1"/>
    </xf>
    <xf numFmtId="42" fontId="19" fillId="0" borderId="38" xfId="1" applyNumberFormat="1" applyFont="1" applyFill="1" applyBorder="1" applyAlignment="1">
      <alignment horizontal="right" vertical="center"/>
    </xf>
    <xf numFmtId="0" fontId="19" fillId="0" borderId="39" xfId="0" applyFont="1" applyBorder="1">
      <alignment vertical="center"/>
    </xf>
    <xf numFmtId="42" fontId="19" fillId="0" borderId="38" xfId="0" applyNumberFormat="1" applyFont="1" applyBorder="1">
      <alignment vertical="center"/>
    </xf>
    <xf numFmtId="42" fontId="19" fillId="0" borderId="37" xfId="0" applyNumberFormat="1" applyFont="1" applyBorder="1">
      <alignment vertical="center"/>
    </xf>
    <xf numFmtId="0" fontId="18" fillId="9" borderId="16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>
      <alignment vertical="center"/>
    </xf>
    <xf numFmtId="0" fontId="0" fillId="10" borderId="17" xfId="0" applyFill="1" applyBorder="1">
      <alignment vertical="center"/>
    </xf>
    <xf numFmtId="0" fontId="19" fillId="0" borderId="7" xfId="1" applyNumberFormat="1" applyFont="1" applyFill="1" applyBorder="1" applyAlignment="1">
      <alignment horizontal="center" vertical="center" wrapText="1"/>
    </xf>
    <xf numFmtId="0" fontId="19" fillId="0" borderId="21" xfId="1" applyNumberFormat="1" applyFont="1" applyFill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center" vertical="center" wrapText="1"/>
    </xf>
    <xf numFmtId="0" fontId="32" fillId="8" borderId="35" xfId="0" applyFont="1" applyFill="1" applyBorder="1" applyAlignment="1">
      <alignment horizontal="center" vertical="center" wrapText="1"/>
    </xf>
    <xf numFmtId="0" fontId="32" fillId="8" borderId="35" xfId="0" applyFont="1" applyFill="1" applyBorder="1">
      <alignment vertical="center"/>
    </xf>
    <xf numFmtId="42" fontId="19" fillId="2" borderId="35" xfId="1" applyNumberFormat="1" applyFont="1" applyFill="1" applyBorder="1" applyAlignment="1">
      <alignment horizontal="right" vertical="center"/>
    </xf>
    <xf numFmtId="0" fontId="19" fillId="2" borderId="35" xfId="0" applyFont="1" applyFill="1" applyBorder="1">
      <alignment vertical="center"/>
    </xf>
    <xf numFmtId="42" fontId="19" fillId="2" borderId="65" xfId="0" applyNumberFormat="1" applyFont="1" applyFill="1" applyBorder="1" applyAlignment="1">
      <alignment horizontal="center" vertical="center"/>
    </xf>
    <xf numFmtId="42" fontId="19" fillId="2" borderId="39" xfId="0" applyNumberFormat="1" applyFont="1" applyFill="1" applyBorder="1" applyAlignment="1">
      <alignment horizontal="center" vertical="center"/>
    </xf>
    <xf numFmtId="42" fontId="19" fillId="2" borderId="66" xfId="0" applyNumberFormat="1" applyFont="1" applyFill="1" applyBorder="1" applyAlignment="1">
      <alignment horizontal="center" vertical="center"/>
    </xf>
    <xf numFmtId="42" fontId="19" fillId="2" borderId="35" xfId="1" applyNumberFormat="1" applyFont="1" applyFill="1" applyBorder="1" applyAlignment="1">
      <alignment horizontal="left" vertical="center"/>
    </xf>
    <xf numFmtId="0" fontId="19" fillId="2" borderId="52" xfId="0" applyFont="1" applyFill="1" applyBorder="1" applyAlignment="1">
      <alignment horizontal="left" vertical="center"/>
    </xf>
    <xf numFmtId="0" fontId="33" fillId="2" borderId="35" xfId="0" quotePrefix="1" applyFont="1" applyFill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FFC5"/>
      <color rgb="FFB7E0F3"/>
      <color rgb="FFEDFC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1058843</xdr:colOff>
      <xdr:row>0</xdr:row>
      <xdr:rowOff>21916</xdr:rowOff>
    </xdr:from>
    <xdr:to>
      <xdr:col>13</xdr:col>
      <xdr:colOff>1582624</xdr:colOff>
      <xdr:row>3</xdr:row>
      <xdr:rowOff>98064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A50FEFE0-37A2-4C61-9FF6-382DFF762688}"/>
            </a:ext>
            <a:ext uri="{147F2762-F138-4A5C-976F-8EAC2B608ADB}">
              <a16:predDERef xmlns:a16="http://schemas.microsoft.com/office/drawing/2014/main" pred="{298DEE23-A9F7-4FCA-8071-F5F9DDC2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2450" y="21916"/>
          <a:ext cx="4575188" cy="1544780"/>
        </a:xfrm>
        <a:prstGeom prst="rect">
          <a:avLst/>
        </a:prstGeom>
      </xdr:spPr>
    </xdr:pic>
    <xdr:clientData/>
  </xdr:twoCellAnchor>
  <xdr:twoCellAnchor editAs="oneCell">
    <xdr:from>
      <xdr:col>1</xdr:col>
      <xdr:colOff>283957</xdr:colOff>
      <xdr:row>0</xdr:row>
      <xdr:rowOff>216498</xdr:rowOff>
    </xdr:from>
    <xdr:to>
      <xdr:col>3</xdr:col>
      <xdr:colOff>425050</xdr:colOff>
      <xdr:row>2</xdr:row>
      <xdr:rowOff>77833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7393738F-EE16-4222-A38A-8435732A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167" y="212688"/>
          <a:ext cx="2018197" cy="7645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112059</xdr:colOff>
      <xdr:row>0</xdr:row>
      <xdr:rowOff>224117</xdr:rowOff>
    </xdr:from>
    <xdr:to>
      <xdr:col>16</xdr:col>
      <xdr:colOff>1319027</xdr:colOff>
      <xdr:row>4</xdr:row>
      <xdr:rowOff>24658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F6324C92-FF09-42F3-AE22-36C7DBE5C14F}"/>
            </a:ext>
            <a:ext uri="{147F2762-F138-4A5C-976F-8EAC2B608ADB}">
              <a16:predDERef xmlns:a16="http://schemas.microsoft.com/office/drawing/2014/main" pred="{298DEE23-A9F7-4FCA-8071-F5F9DDC2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3784" y="222212"/>
          <a:ext cx="4538197" cy="1541731"/>
        </a:xfrm>
        <a:prstGeom prst="rect">
          <a:avLst/>
        </a:prstGeom>
      </xdr:spPr>
    </xdr:pic>
    <xdr:clientData/>
  </xdr:twoCellAnchor>
  <xdr:twoCellAnchor editAs="oneCell">
    <xdr:from>
      <xdr:col>1</xdr:col>
      <xdr:colOff>283957</xdr:colOff>
      <xdr:row>0</xdr:row>
      <xdr:rowOff>216498</xdr:rowOff>
    </xdr:from>
    <xdr:to>
      <xdr:col>3</xdr:col>
      <xdr:colOff>442855</xdr:colOff>
      <xdr:row>2</xdr:row>
      <xdr:rowOff>99992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683A2DA-CA92-4F5F-8A2B-FCB8F593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167" y="212688"/>
          <a:ext cx="2018197" cy="7645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112059</xdr:colOff>
      <xdr:row>0</xdr:row>
      <xdr:rowOff>224117</xdr:rowOff>
    </xdr:from>
    <xdr:to>
      <xdr:col>16</xdr:col>
      <xdr:colOff>1319666</xdr:colOff>
      <xdr:row>4</xdr:row>
      <xdr:rowOff>24029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3A5ABE22-8E55-43F8-9C02-607DB63348DF}"/>
            </a:ext>
            <a:ext uri="{147F2762-F138-4A5C-976F-8EAC2B608ADB}">
              <a16:predDERef xmlns:a16="http://schemas.microsoft.com/office/drawing/2014/main" pred="{298DEE23-A9F7-4FCA-8071-F5F9DDC2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3784" y="222212"/>
          <a:ext cx="4534387" cy="1537921"/>
        </a:xfrm>
        <a:prstGeom prst="rect">
          <a:avLst/>
        </a:prstGeom>
      </xdr:spPr>
    </xdr:pic>
    <xdr:clientData/>
  </xdr:twoCellAnchor>
  <xdr:twoCellAnchor editAs="oneCell">
    <xdr:from>
      <xdr:col>1</xdr:col>
      <xdr:colOff>283957</xdr:colOff>
      <xdr:row>0</xdr:row>
      <xdr:rowOff>216498</xdr:rowOff>
    </xdr:from>
    <xdr:to>
      <xdr:col>3</xdr:col>
      <xdr:colOff>290641</xdr:colOff>
      <xdr:row>2</xdr:row>
      <xdr:rowOff>99681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969E7BC1-30B5-4371-AAB7-D31A2EA89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167" y="212688"/>
          <a:ext cx="2014387" cy="768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2A445E-20AC-44F7-B69A-ADC8CE9B30F7}">
  <we:reference id="wa200010725" version="1.0.0.1" store="ko-KR" storeType="OMEX"/>
  <we:alternateReferences>
    <we:reference id="wa200010725" version="1.0.0.1" store="wa200010725" storeType="OMEX"/>
  </we:alternateReferences>
  <we:properties>
    <we:property name="claude.fileId" value="&quot;c168cf59-3c9b-4c23-b5fb-a9c64ccf26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lee@timbel.net,%20010-8192-222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wlee@timbel.net,%20010-8192-222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wlee@timbel.net,%20010-8192-222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5429-066D-4CFE-B3FF-F39B3A4154B9}">
  <sheetPr>
    <pageSetUpPr fitToPage="1"/>
  </sheetPr>
  <dimension ref="A1:N40"/>
  <sheetViews>
    <sheetView tabSelected="1" zoomScale="70" zoomScaleNormal="70" workbookViewId="0">
      <selection activeCell="D8" sqref="D8"/>
    </sheetView>
  </sheetViews>
  <sheetFormatPr defaultRowHeight="16.899999999999999"/>
  <cols>
    <col min="1" max="1" width="2" customWidth="1"/>
    <col min="2" max="2" width="6.3125" customWidth="1"/>
    <col min="3" max="3" width="18.1875" customWidth="1"/>
    <col min="4" max="4" width="28.125" customWidth="1"/>
    <col min="5" max="5" width="11.125" bestFit="1" customWidth="1"/>
    <col min="6" max="6" width="13.875" bestFit="1" customWidth="1"/>
    <col min="7" max="7" width="6.1875" customWidth="1"/>
    <col min="8" max="9" width="14.3125" customWidth="1"/>
    <col min="10" max="10" width="11.875" customWidth="1"/>
    <col min="11" max="11" width="10.625" customWidth="1"/>
    <col min="12" max="12" width="5.8125" bestFit="1" customWidth="1"/>
    <col min="13" max="13" width="10.8125" customWidth="1"/>
    <col min="14" max="14" width="23.125" customWidth="1"/>
    <col min="15" max="15" width="10.625" bestFit="1" customWidth="1"/>
  </cols>
  <sheetData>
    <row r="1" spans="1:14" ht="17.25" thickTop="1">
      <c r="A1" s="4"/>
      <c r="B1" s="41"/>
      <c r="C1" s="42"/>
      <c r="D1" s="42"/>
      <c r="E1" s="42"/>
      <c r="F1" s="42"/>
      <c r="G1" s="42"/>
      <c r="H1" s="43"/>
      <c r="I1" s="43"/>
      <c r="J1" s="42"/>
      <c r="K1" s="44"/>
      <c r="L1" s="44"/>
      <c r="M1" s="44"/>
      <c r="N1" s="45"/>
    </row>
    <row r="2" spans="1:14" ht="45.4">
      <c r="A2" s="4"/>
      <c r="B2" s="163" t="s">
        <v>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5"/>
    </row>
    <row r="3" spans="1:14" ht="36.4">
      <c r="A3" s="4"/>
      <c r="B3" s="46"/>
      <c r="C3" s="11"/>
      <c r="D3" s="11"/>
      <c r="E3" s="11"/>
      <c r="F3" s="11"/>
      <c r="G3" s="11"/>
      <c r="H3" s="11"/>
      <c r="I3" s="11"/>
      <c r="J3" s="11"/>
      <c r="K3" s="4"/>
      <c r="L3" s="4"/>
      <c r="M3" s="4"/>
      <c r="N3" s="47"/>
    </row>
    <row r="4" spans="1:14" ht="17.649999999999999">
      <c r="A4" s="4"/>
      <c r="B4" s="166" t="s">
        <v>12</v>
      </c>
      <c r="C4" s="167"/>
      <c r="D4" s="168" t="s">
        <v>148</v>
      </c>
      <c r="E4" s="169"/>
      <c r="F4" s="169"/>
      <c r="G4" s="13"/>
      <c r="H4" s="14"/>
      <c r="I4" s="15"/>
      <c r="J4" s="16"/>
      <c r="K4" s="4"/>
      <c r="L4" s="4"/>
      <c r="M4" s="4"/>
      <c r="N4" s="48"/>
    </row>
    <row r="5" spans="1:14" ht="17.649999999999999">
      <c r="A5" s="4"/>
      <c r="B5" s="134" t="s">
        <v>13</v>
      </c>
      <c r="C5" s="135"/>
      <c r="D5" s="168" t="s">
        <v>112</v>
      </c>
      <c r="E5" s="169"/>
      <c r="F5" s="169"/>
      <c r="G5" s="13"/>
      <c r="H5" s="14"/>
      <c r="I5" s="15"/>
      <c r="J5" s="16"/>
      <c r="K5" s="4"/>
      <c r="L5" s="4"/>
      <c r="M5" s="4"/>
      <c r="N5" s="48"/>
    </row>
    <row r="6" spans="1:14" ht="17.649999999999999">
      <c r="A6" s="4"/>
      <c r="B6" s="134" t="s">
        <v>1</v>
      </c>
      <c r="C6" s="135"/>
      <c r="D6" s="136" t="s">
        <v>147</v>
      </c>
      <c r="E6" s="137"/>
      <c r="F6" s="137"/>
      <c r="G6" s="20"/>
      <c r="H6" s="14"/>
      <c r="I6" s="15"/>
      <c r="J6" s="16"/>
      <c r="K6" s="4"/>
      <c r="L6" s="4"/>
      <c r="M6" s="4"/>
      <c r="N6" s="48"/>
    </row>
    <row r="7" spans="1:14">
      <c r="A7" s="4"/>
      <c r="B7" s="49"/>
      <c r="C7" s="22"/>
      <c r="D7" s="22"/>
      <c r="E7" s="22"/>
      <c r="F7" s="22"/>
      <c r="G7" s="23"/>
      <c r="H7" s="14"/>
      <c r="I7" s="23"/>
      <c r="J7" s="149" t="s">
        <v>23</v>
      </c>
      <c r="K7" s="149"/>
      <c r="L7" s="149"/>
      <c r="M7" s="149"/>
      <c r="N7" s="150"/>
    </row>
    <row r="8" spans="1:14" ht="19.149999999999999">
      <c r="A8" s="4"/>
      <c r="B8" s="49"/>
      <c r="C8" s="22"/>
      <c r="D8" s="22"/>
      <c r="E8" s="22"/>
      <c r="F8" s="22"/>
      <c r="G8" s="23"/>
      <c r="H8" s="14"/>
      <c r="I8" s="23"/>
      <c r="J8" s="173" t="s">
        <v>24</v>
      </c>
      <c r="K8" s="174"/>
      <c r="L8" s="174"/>
      <c r="M8" s="174"/>
      <c r="N8" s="175"/>
    </row>
    <row r="9" spans="1:14">
      <c r="A9" s="4"/>
      <c r="B9" s="50" t="s">
        <v>2</v>
      </c>
      <c r="C9" s="27"/>
      <c r="D9" s="27"/>
      <c r="E9" s="27"/>
      <c r="F9" s="27"/>
      <c r="G9" s="27"/>
      <c r="H9" s="14"/>
      <c r="I9" s="14"/>
      <c r="J9" s="149" t="s">
        <v>3</v>
      </c>
      <c r="K9" s="149"/>
      <c r="L9" s="149"/>
      <c r="M9" s="149"/>
      <c r="N9" s="150"/>
    </row>
    <row r="10" spans="1:14">
      <c r="A10" s="4"/>
      <c r="B10" s="51"/>
      <c r="C10" s="29"/>
      <c r="D10" s="29"/>
      <c r="E10" s="29"/>
      <c r="F10" s="29"/>
      <c r="G10" s="29"/>
      <c r="H10" s="30"/>
      <c r="I10" s="30"/>
      <c r="J10" s="53"/>
      <c r="K10" s="52"/>
      <c r="L10" s="52"/>
      <c r="M10" s="52"/>
      <c r="N10" s="54"/>
    </row>
    <row r="11" spans="1:14" ht="59.45" customHeight="1">
      <c r="A11" s="4"/>
      <c r="B11" s="176" t="s">
        <v>83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8"/>
    </row>
    <row r="12" spans="1:14" ht="20.65">
      <c r="A12" s="4"/>
      <c r="B12" s="147" t="s">
        <v>4</v>
      </c>
      <c r="C12" s="148"/>
      <c r="D12" s="40" t="s">
        <v>19</v>
      </c>
      <c r="E12" s="40" t="s">
        <v>6</v>
      </c>
      <c r="F12" s="40" t="s">
        <v>7</v>
      </c>
      <c r="G12" s="141" t="s">
        <v>8</v>
      </c>
      <c r="H12" s="141"/>
      <c r="I12" s="142" t="s">
        <v>9</v>
      </c>
      <c r="J12" s="143"/>
      <c r="K12" s="143"/>
      <c r="L12" s="144"/>
      <c r="M12" s="145" t="s">
        <v>32</v>
      </c>
      <c r="N12" s="146"/>
    </row>
    <row r="13" spans="1:14" ht="50" customHeight="1">
      <c r="A13" s="4"/>
      <c r="B13" s="160" t="s">
        <v>69</v>
      </c>
      <c r="C13" s="160"/>
      <c r="D13" s="35" t="s">
        <v>74</v>
      </c>
      <c r="E13" s="38">
        <v>45</v>
      </c>
      <c r="F13" s="39" t="s">
        <v>26</v>
      </c>
      <c r="G13" s="120">
        <v>5000000</v>
      </c>
      <c r="H13" s="121"/>
      <c r="I13" s="153">
        <f>G13*E13</f>
        <v>225000000</v>
      </c>
      <c r="J13" s="154"/>
      <c r="K13" s="154"/>
      <c r="L13" s="155"/>
      <c r="M13" s="89"/>
      <c r="N13" s="90"/>
    </row>
    <row r="14" spans="1:14" ht="50" customHeight="1">
      <c r="A14" s="4"/>
      <c r="B14" s="161" t="s">
        <v>113</v>
      </c>
      <c r="C14" s="162"/>
      <c r="D14" s="35" t="s">
        <v>114</v>
      </c>
      <c r="E14" s="38">
        <v>1</v>
      </c>
      <c r="F14" s="39" t="s">
        <v>36</v>
      </c>
      <c r="G14" s="129">
        <v>100000000</v>
      </c>
      <c r="H14" s="130"/>
      <c r="I14" s="153">
        <f t="shared" ref="I14" si="0">G14*E14</f>
        <v>100000000</v>
      </c>
      <c r="J14" s="154"/>
      <c r="K14" s="154"/>
      <c r="L14" s="155"/>
      <c r="M14" s="156"/>
      <c r="N14" s="157"/>
    </row>
    <row r="15" spans="1:14" ht="50" customHeight="1">
      <c r="A15" s="4"/>
      <c r="B15" s="161" t="s">
        <v>73</v>
      </c>
      <c r="C15" s="162"/>
      <c r="D15" s="78" t="s">
        <v>75</v>
      </c>
      <c r="E15" s="38">
        <v>1</v>
      </c>
      <c r="F15" s="39" t="s">
        <v>36</v>
      </c>
      <c r="G15" s="129">
        <v>80000000</v>
      </c>
      <c r="H15" s="130"/>
      <c r="I15" s="153">
        <f t="shared" ref="I15" si="1">G15*E15</f>
        <v>80000000</v>
      </c>
      <c r="J15" s="154"/>
      <c r="K15" s="154"/>
      <c r="L15" s="155"/>
      <c r="M15" s="89"/>
      <c r="N15" s="90"/>
    </row>
    <row r="16" spans="1:14" ht="50" customHeight="1">
      <c r="A16" s="4"/>
      <c r="B16" s="158" t="s">
        <v>70</v>
      </c>
      <c r="C16" s="159"/>
      <c r="D16" s="77" t="s">
        <v>70</v>
      </c>
      <c r="E16" s="58">
        <v>1</v>
      </c>
      <c r="F16" s="59" t="s">
        <v>36</v>
      </c>
      <c r="G16" s="151">
        <v>0</v>
      </c>
      <c r="H16" s="152"/>
      <c r="I16" s="91">
        <v>0</v>
      </c>
      <c r="J16" s="92"/>
      <c r="K16" s="92"/>
      <c r="L16" s="93"/>
      <c r="M16" s="194" t="s">
        <v>72</v>
      </c>
      <c r="N16" s="195"/>
    </row>
    <row r="17" spans="1:14" ht="50" customHeight="1">
      <c r="A17" s="4"/>
      <c r="B17" s="158" t="s">
        <v>71</v>
      </c>
      <c r="C17" s="159"/>
      <c r="D17" s="77" t="s">
        <v>77</v>
      </c>
      <c r="E17" s="58">
        <v>1</v>
      </c>
      <c r="F17" s="59" t="s">
        <v>36</v>
      </c>
      <c r="G17" s="151">
        <v>300000000</v>
      </c>
      <c r="H17" s="152"/>
      <c r="I17" s="91">
        <f>G17*E17</f>
        <v>300000000</v>
      </c>
      <c r="J17" s="92"/>
      <c r="K17" s="92"/>
      <c r="L17" s="93"/>
      <c r="M17" s="194" t="s">
        <v>115</v>
      </c>
      <c r="N17" s="195"/>
    </row>
    <row r="18" spans="1:14" ht="50" customHeight="1">
      <c r="A18" s="4"/>
      <c r="B18" s="158" t="s">
        <v>129</v>
      </c>
      <c r="C18" s="159"/>
      <c r="D18" s="77" t="s">
        <v>129</v>
      </c>
      <c r="E18" s="58">
        <v>1</v>
      </c>
      <c r="F18" s="59" t="s">
        <v>36</v>
      </c>
      <c r="G18" s="151">
        <v>0</v>
      </c>
      <c r="H18" s="152"/>
      <c r="I18" s="91">
        <v>0</v>
      </c>
      <c r="J18" s="92"/>
      <c r="K18" s="92"/>
      <c r="L18" s="93"/>
      <c r="M18" s="194" t="s">
        <v>130</v>
      </c>
      <c r="N18" s="195"/>
    </row>
    <row r="19" spans="1:14" ht="75" customHeight="1">
      <c r="A19" s="4"/>
      <c r="B19" s="158" t="s">
        <v>131</v>
      </c>
      <c r="C19" s="159"/>
      <c r="D19" s="77" t="s">
        <v>133</v>
      </c>
      <c r="E19" s="58">
        <v>45</v>
      </c>
      <c r="F19" s="39" t="s">
        <v>26</v>
      </c>
      <c r="G19" s="151">
        <v>0</v>
      </c>
      <c r="H19" s="152"/>
      <c r="I19" s="91">
        <f>G19*E19</f>
        <v>0</v>
      </c>
      <c r="J19" s="92"/>
      <c r="K19" s="92"/>
      <c r="L19" s="93"/>
      <c r="M19" s="194" t="s">
        <v>132</v>
      </c>
      <c r="N19" s="195"/>
    </row>
    <row r="20" spans="1:14" ht="34.799999999999997" customHeight="1">
      <c r="A20" s="4"/>
      <c r="B20" s="98" t="s">
        <v>15</v>
      </c>
      <c r="C20" s="99"/>
      <c r="D20" s="99"/>
      <c r="E20" s="94">
        <f>SUM(I13:K19)</f>
        <v>705000000</v>
      </c>
      <c r="F20" s="95"/>
      <c r="G20" s="95"/>
      <c r="H20" s="95"/>
      <c r="I20" s="95"/>
      <c r="J20" s="95"/>
      <c r="K20" s="95"/>
      <c r="L20" s="95"/>
      <c r="M20" s="96"/>
      <c r="N20" s="97"/>
    </row>
    <row r="21" spans="1:14" ht="34.799999999999997" customHeight="1">
      <c r="A21" s="4"/>
      <c r="B21" s="98" t="s">
        <v>81</v>
      </c>
      <c r="C21" s="99"/>
      <c r="D21" s="99"/>
      <c r="E21" s="94">
        <f>E20*0.6</f>
        <v>423000000</v>
      </c>
      <c r="F21" s="95"/>
      <c r="G21" s="95"/>
      <c r="H21" s="95"/>
      <c r="I21" s="95"/>
      <c r="J21" s="95"/>
      <c r="K21" s="95"/>
      <c r="L21" s="95"/>
      <c r="M21" s="96"/>
      <c r="N21" s="97"/>
    </row>
    <row r="22" spans="1:14" ht="34.799999999999997" customHeight="1">
      <c r="A22" s="4"/>
      <c r="B22" s="98" t="s">
        <v>16</v>
      </c>
      <c r="C22" s="99"/>
      <c r="D22" s="99"/>
      <c r="E22" s="94">
        <f>E21*0.1</f>
        <v>42300000</v>
      </c>
      <c r="F22" s="95"/>
      <c r="G22" s="95"/>
      <c r="H22" s="95"/>
      <c r="I22" s="95"/>
      <c r="J22" s="95"/>
      <c r="K22" s="95"/>
      <c r="L22" s="95"/>
      <c r="M22" s="96"/>
      <c r="N22" s="97"/>
    </row>
    <row r="23" spans="1:14" ht="34.799999999999997" customHeight="1">
      <c r="A23" s="4"/>
      <c r="B23" s="172" t="s">
        <v>17</v>
      </c>
      <c r="C23" s="99"/>
      <c r="D23" s="99"/>
      <c r="E23" s="107">
        <f>SUM(E21:N22)</f>
        <v>465300000</v>
      </c>
      <c r="F23" s="108"/>
      <c r="G23" s="108"/>
      <c r="H23" s="108"/>
      <c r="I23" s="108"/>
      <c r="J23" s="108"/>
      <c r="K23" s="108"/>
      <c r="L23" s="108"/>
      <c r="M23" s="109"/>
      <c r="N23" s="110"/>
    </row>
    <row r="24" spans="1:14" ht="60.75" customHeight="1">
      <c r="A24" s="4"/>
      <c r="B24" s="138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40"/>
    </row>
    <row r="25" spans="1:14" ht="60.75" customHeight="1">
      <c r="A25" s="4"/>
      <c r="B25" s="176" t="s">
        <v>22</v>
      </c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8"/>
    </row>
    <row r="26" spans="1:14" ht="20.65">
      <c r="B26" s="147" t="s">
        <v>4</v>
      </c>
      <c r="C26" s="148"/>
      <c r="D26" s="40" t="s">
        <v>19</v>
      </c>
      <c r="E26" s="40" t="s">
        <v>6</v>
      </c>
      <c r="F26" s="40" t="s">
        <v>7</v>
      </c>
      <c r="G26" s="141" t="s">
        <v>8</v>
      </c>
      <c r="H26" s="141"/>
      <c r="I26" s="142" t="s">
        <v>9</v>
      </c>
      <c r="J26" s="143"/>
      <c r="K26" s="143"/>
      <c r="L26" s="144"/>
      <c r="M26" s="127" t="s">
        <v>32</v>
      </c>
      <c r="N26" s="128"/>
    </row>
    <row r="27" spans="1:14" ht="38.450000000000003" customHeight="1">
      <c r="B27" s="170" t="s">
        <v>20</v>
      </c>
      <c r="C27" s="171"/>
      <c r="D27" s="35" t="s">
        <v>33</v>
      </c>
      <c r="E27" s="38">
        <v>1</v>
      </c>
      <c r="F27" s="39" t="s">
        <v>21</v>
      </c>
      <c r="G27" s="120">
        <v>10000000</v>
      </c>
      <c r="H27" s="121"/>
      <c r="I27" s="122">
        <f>G27*E27</f>
        <v>10000000</v>
      </c>
      <c r="J27" s="122"/>
      <c r="K27" s="122"/>
      <c r="L27" s="122"/>
      <c r="M27" s="123"/>
      <c r="N27" s="124"/>
    </row>
    <row r="28" spans="1:14" ht="38.450000000000003" customHeight="1">
      <c r="B28" s="170"/>
      <c r="C28" s="171"/>
      <c r="D28" s="35" t="s">
        <v>79</v>
      </c>
      <c r="E28" s="38">
        <v>2</v>
      </c>
      <c r="F28" s="39" t="s">
        <v>21</v>
      </c>
      <c r="G28" s="129">
        <v>10000000</v>
      </c>
      <c r="H28" s="130"/>
      <c r="I28" s="131">
        <f t="shared" ref="I28:I29" si="2">G28*E28</f>
        <v>20000000</v>
      </c>
      <c r="J28" s="132"/>
      <c r="K28" s="132"/>
      <c r="L28" s="133"/>
      <c r="M28" s="111"/>
      <c r="N28" s="112"/>
    </row>
    <row r="29" spans="1:14" ht="38.450000000000003" customHeight="1">
      <c r="B29" s="170"/>
      <c r="C29" s="171"/>
      <c r="D29" s="60" t="s">
        <v>80</v>
      </c>
      <c r="E29" s="61">
        <v>4</v>
      </c>
      <c r="F29" s="62" t="s">
        <v>21</v>
      </c>
      <c r="G29" s="113">
        <v>10000000</v>
      </c>
      <c r="H29" s="114"/>
      <c r="I29" s="115">
        <f t="shared" si="2"/>
        <v>40000000</v>
      </c>
      <c r="J29" s="116"/>
      <c r="K29" s="116"/>
      <c r="L29" s="117"/>
      <c r="M29" s="118"/>
      <c r="N29" s="119"/>
    </row>
    <row r="30" spans="1:14" ht="38.450000000000003" customHeight="1">
      <c r="B30" s="170"/>
      <c r="C30" s="171"/>
      <c r="D30" s="79" t="s">
        <v>82</v>
      </c>
      <c r="E30" s="80">
        <v>2</v>
      </c>
      <c r="F30" s="81" t="s">
        <v>21</v>
      </c>
      <c r="G30" s="100">
        <v>10000000</v>
      </c>
      <c r="H30" s="101"/>
      <c r="I30" s="102">
        <f t="shared" ref="I30" si="3">G30*E30</f>
        <v>20000000</v>
      </c>
      <c r="J30" s="103"/>
      <c r="K30" s="103"/>
      <c r="L30" s="104"/>
      <c r="M30" s="105"/>
      <c r="N30" s="106"/>
    </row>
    <row r="31" spans="1:14" ht="38.450000000000003" customHeight="1">
      <c r="B31" s="170"/>
      <c r="C31" s="171"/>
      <c r="D31" s="35" t="s">
        <v>117</v>
      </c>
      <c r="E31" s="38">
        <v>4</v>
      </c>
      <c r="F31" s="39" t="s">
        <v>21</v>
      </c>
      <c r="G31" s="120">
        <v>10000000</v>
      </c>
      <c r="H31" s="121"/>
      <c r="I31" s="122">
        <f t="shared" ref="I31:I33" si="4">G31*E31</f>
        <v>40000000</v>
      </c>
      <c r="J31" s="122"/>
      <c r="K31" s="122"/>
      <c r="L31" s="122"/>
      <c r="M31" s="125"/>
      <c r="N31" s="126"/>
    </row>
    <row r="32" spans="1:14" ht="38.450000000000003" customHeight="1">
      <c r="B32" s="170"/>
      <c r="C32" s="171"/>
      <c r="D32" s="35" t="s">
        <v>34</v>
      </c>
      <c r="E32" s="38">
        <v>4</v>
      </c>
      <c r="F32" s="39" t="s">
        <v>21</v>
      </c>
      <c r="G32" s="120">
        <v>10000000</v>
      </c>
      <c r="H32" s="121"/>
      <c r="I32" s="122">
        <f t="shared" si="4"/>
        <v>40000000</v>
      </c>
      <c r="J32" s="122"/>
      <c r="K32" s="122"/>
      <c r="L32" s="122"/>
      <c r="M32" s="123"/>
      <c r="N32" s="124"/>
    </row>
    <row r="33" spans="2:14" ht="38.450000000000003" customHeight="1">
      <c r="B33" s="170"/>
      <c r="C33" s="171"/>
      <c r="D33" s="60" t="s">
        <v>116</v>
      </c>
      <c r="E33" s="61">
        <v>1</v>
      </c>
      <c r="F33" s="62" t="s">
        <v>21</v>
      </c>
      <c r="G33" s="286">
        <v>8000000</v>
      </c>
      <c r="H33" s="287"/>
      <c r="I33" s="288">
        <f t="shared" si="4"/>
        <v>8000000</v>
      </c>
      <c r="J33" s="289"/>
      <c r="K33" s="289"/>
      <c r="L33" s="290"/>
      <c r="M33" s="291"/>
      <c r="N33" s="292"/>
    </row>
    <row r="34" spans="2:14" ht="38.450000000000003" customHeight="1">
      <c r="B34" s="170"/>
      <c r="C34" s="171"/>
      <c r="D34" s="35" t="s">
        <v>35</v>
      </c>
      <c r="E34" s="38">
        <v>2</v>
      </c>
      <c r="F34" s="39" t="s">
        <v>21</v>
      </c>
      <c r="G34" s="120">
        <v>8000000</v>
      </c>
      <c r="H34" s="121"/>
      <c r="I34" s="122">
        <f t="shared" ref="I34" si="5">G34*E34</f>
        <v>16000000</v>
      </c>
      <c r="J34" s="122"/>
      <c r="K34" s="122"/>
      <c r="L34" s="122"/>
      <c r="M34" s="189" t="s">
        <v>98</v>
      </c>
      <c r="N34" s="190"/>
    </row>
    <row r="35" spans="2:14" ht="38.450000000000003" customHeight="1">
      <c r="B35" s="170"/>
      <c r="C35" s="171"/>
      <c r="D35" s="57" t="s">
        <v>90</v>
      </c>
      <c r="E35" s="58">
        <v>1</v>
      </c>
      <c r="F35" s="59" t="s">
        <v>21</v>
      </c>
      <c r="G35" s="120">
        <v>10000000</v>
      </c>
      <c r="H35" s="121"/>
      <c r="I35" s="122">
        <f t="shared" ref="I35" si="6">G35*E35</f>
        <v>10000000</v>
      </c>
      <c r="J35" s="122"/>
      <c r="K35" s="122"/>
      <c r="L35" s="122"/>
      <c r="M35" s="123"/>
      <c r="N35" s="124"/>
    </row>
    <row r="36" spans="2:14" ht="38.450000000000003" customHeight="1">
      <c r="B36" s="170"/>
      <c r="C36" s="171"/>
      <c r="D36" s="57" t="s">
        <v>28</v>
      </c>
      <c r="E36" s="58">
        <v>1</v>
      </c>
      <c r="F36" s="59" t="s">
        <v>21</v>
      </c>
      <c r="G36" s="120">
        <v>10000000</v>
      </c>
      <c r="H36" s="121"/>
      <c r="I36" s="122">
        <f t="shared" ref="I36" si="7">G36*E36</f>
        <v>10000000</v>
      </c>
      <c r="J36" s="122"/>
      <c r="K36" s="122"/>
      <c r="L36" s="122"/>
      <c r="M36" s="123"/>
      <c r="N36" s="124"/>
    </row>
    <row r="37" spans="2:14" ht="34.799999999999997" customHeight="1">
      <c r="B37" s="98" t="s">
        <v>15</v>
      </c>
      <c r="C37" s="99"/>
      <c r="D37" s="99"/>
      <c r="E37" s="183">
        <f>SUM(I27:I36)</f>
        <v>214000000</v>
      </c>
      <c r="F37" s="184"/>
      <c r="G37" s="184"/>
      <c r="H37" s="184"/>
      <c r="I37" s="184"/>
      <c r="J37" s="184"/>
      <c r="K37" s="184"/>
      <c r="L37" s="185"/>
      <c r="M37" s="96" t="s">
        <v>78</v>
      </c>
      <c r="N37" s="97"/>
    </row>
    <row r="38" spans="2:14" ht="34.799999999999997" customHeight="1">
      <c r="B38" s="98" t="s">
        <v>16</v>
      </c>
      <c r="C38" s="99"/>
      <c r="D38" s="99"/>
      <c r="E38" s="183">
        <f>E37*0.1</f>
        <v>21400000</v>
      </c>
      <c r="F38" s="184"/>
      <c r="G38" s="184"/>
      <c r="H38" s="184"/>
      <c r="I38" s="184"/>
      <c r="J38" s="184"/>
      <c r="K38" s="184"/>
      <c r="L38" s="185"/>
      <c r="M38" s="96"/>
      <c r="N38" s="97"/>
    </row>
    <row r="39" spans="2:14" ht="34.799999999999997" customHeight="1" thickBot="1">
      <c r="B39" s="179" t="s">
        <v>17</v>
      </c>
      <c r="C39" s="180"/>
      <c r="D39" s="180"/>
      <c r="E39" s="186">
        <f>SUM(E37:N38)</f>
        <v>235400000</v>
      </c>
      <c r="F39" s="187"/>
      <c r="G39" s="187"/>
      <c r="H39" s="187"/>
      <c r="I39" s="187"/>
      <c r="J39" s="187"/>
      <c r="K39" s="187"/>
      <c r="L39" s="188"/>
      <c r="M39" s="181"/>
      <c r="N39" s="182"/>
    </row>
    <row r="40" spans="2:14" ht="17.25" thickTop="1"/>
  </sheetData>
  <mergeCells count="101">
    <mergeCell ref="M36:N36"/>
    <mergeCell ref="M35:N35"/>
    <mergeCell ref="G31:H31"/>
    <mergeCell ref="I31:L31"/>
    <mergeCell ref="G34:H34"/>
    <mergeCell ref="I34:L34"/>
    <mergeCell ref="M34:N34"/>
    <mergeCell ref="G33:H33"/>
    <mergeCell ref="I33:L33"/>
    <mergeCell ref="M33:N33"/>
    <mergeCell ref="B37:D37"/>
    <mergeCell ref="B38:D38"/>
    <mergeCell ref="B39:D39"/>
    <mergeCell ref="M37:N37"/>
    <mergeCell ref="M38:N38"/>
    <mergeCell ref="M39:N39"/>
    <mergeCell ref="E37:L37"/>
    <mergeCell ref="E38:L38"/>
    <mergeCell ref="E39:L39"/>
    <mergeCell ref="J7:N7"/>
    <mergeCell ref="B11:N11"/>
    <mergeCell ref="B25:N25"/>
    <mergeCell ref="G15:H15"/>
    <mergeCell ref="B15:C15"/>
    <mergeCell ref="B17:C17"/>
    <mergeCell ref="G17:H17"/>
    <mergeCell ref="I17:L17"/>
    <mergeCell ref="M17:N17"/>
    <mergeCell ref="B18:C18"/>
    <mergeCell ref="G18:H18"/>
    <mergeCell ref="I18:L18"/>
    <mergeCell ref="M18:N18"/>
    <mergeCell ref="B26:C26"/>
    <mergeCell ref="G35:H35"/>
    <mergeCell ref="I35:L35"/>
    <mergeCell ref="G14:H14"/>
    <mergeCell ref="J8:N8"/>
    <mergeCell ref="B2:N2"/>
    <mergeCell ref="B4:C4"/>
    <mergeCell ref="D4:F4"/>
    <mergeCell ref="B5:C5"/>
    <mergeCell ref="D5:F5"/>
    <mergeCell ref="M14:N14"/>
    <mergeCell ref="M13:N13"/>
    <mergeCell ref="M16:N16"/>
    <mergeCell ref="B19:C19"/>
    <mergeCell ref="B13:C13"/>
    <mergeCell ref="B14:C14"/>
    <mergeCell ref="B16:C16"/>
    <mergeCell ref="G13:H13"/>
    <mergeCell ref="I13:L13"/>
    <mergeCell ref="B6:C6"/>
    <mergeCell ref="D6:F6"/>
    <mergeCell ref="B24:N24"/>
    <mergeCell ref="B20:D20"/>
    <mergeCell ref="B22:D22"/>
    <mergeCell ref="G12:H12"/>
    <mergeCell ref="I12:L12"/>
    <mergeCell ref="M12:N12"/>
    <mergeCell ref="B12:C12"/>
    <mergeCell ref="J9:N9"/>
    <mergeCell ref="G19:H19"/>
    <mergeCell ref="I16:L16"/>
    <mergeCell ref="I14:L14"/>
    <mergeCell ref="G16:H16"/>
    <mergeCell ref="I15:L15"/>
    <mergeCell ref="M15:N15"/>
    <mergeCell ref="G32:H32"/>
    <mergeCell ref="I32:L32"/>
    <mergeCell ref="M32:N32"/>
    <mergeCell ref="M31:N31"/>
    <mergeCell ref="M26:N26"/>
    <mergeCell ref="G27:H27"/>
    <mergeCell ref="I27:L27"/>
    <mergeCell ref="M27:N27"/>
    <mergeCell ref="G28:H28"/>
    <mergeCell ref="I28:L28"/>
    <mergeCell ref="G26:H26"/>
    <mergeCell ref="I26:L26"/>
    <mergeCell ref="B21:D21"/>
    <mergeCell ref="G30:H30"/>
    <mergeCell ref="I30:L30"/>
    <mergeCell ref="M30:N30"/>
    <mergeCell ref="E22:L22"/>
    <mergeCell ref="E23:L23"/>
    <mergeCell ref="M22:N22"/>
    <mergeCell ref="M23:N23"/>
    <mergeCell ref="M28:N28"/>
    <mergeCell ref="G29:H29"/>
    <mergeCell ref="I29:L29"/>
    <mergeCell ref="M29:N29"/>
    <mergeCell ref="B27:C36"/>
    <mergeCell ref="G36:H36"/>
    <mergeCell ref="I36:L36"/>
    <mergeCell ref="B23:D23"/>
    <mergeCell ref="M19:N19"/>
    <mergeCell ref="I19:L19"/>
    <mergeCell ref="E20:L20"/>
    <mergeCell ref="E21:L21"/>
    <mergeCell ref="M20:N20"/>
    <mergeCell ref="M21:N21"/>
  </mergeCells>
  <phoneticPr fontId="2" type="noConversion"/>
  <hyperlinks>
    <hyperlink ref="J8" r:id="rId1" xr:uid="{318B02C4-5B8D-4816-A213-EC8AF5202FC4}"/>
  </hyperlinks>
  <pageMargins left="0.25" right="0.25" top="0.75" bottom="0.75" header="0.3" footer="0.3"/>
  <pageSetup paperSize="9" scale="5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6257-C73D-402A-8071-64379F1D835E}">
  <sheetPr>
    <pageSetUpPr fitToPage="1"/>
  </sheetPr>
  <dimension ref="A1:Q24"/>
  <sheetViews>
    <sheetView zoomScale="70" zoomScaleNormal="70" workbookViewId="0">
      <selection activeCell="D4" sqref="D4:F4"/>
    </sheetView>
  </sheetViews>
  <sheetFormatPr defaultRowHeight="16.899999999999999"/>
  <cols>
    <col min="1" max="1" width="2" customWidth="1"/>
    <col min="2" max="2" width="6.3125" customWidth="1"/>
    <col min="3" max="3" width="18.1875" customWidth="1"/>
    <col min="4" max="4" width="8.875" customWidth="1"/>
    <col min="5" max="5" width="11.125" bestFit="1" customWidth="1"/>
    <col min="6" max="6" width="13.875" bestFit="1" customWidth="1"/>
    <col min="7" max="7" width="13.3125" customWidth="1"/>
    <col min="8" max="8" width="6.3125" bestFit="1" customWidth="1"/>
    <col min="9" max="9" width="14.3125" customWidth="1"/>
    <col min="10" max="10" width="25.625" customWidth="1"/>
    <col min="11" max="11" width="6.375" bestFit="1" customWidth="1"/>
    <col min="12" max="12" width="5.8125" bestFit="1" customWidth="1"/>
    <col min="13" max="13" width="8.8125" bestFit="1" customWidth="1"/>
    <col min="14" max="14" width="5" bestFit="1" customWidth="1"/>
    <col min="15" max="15" width="14" bestFit="1" customWidth="1"/>
    <col min="16" max="16" width="16" bestFit="1" customWidth="1"/>
    <col min="17" max="17" width="19.5" customWidth="1"/>
    <col min="23" max="23" width="24.1875" customWidth="1"/>
  </cols>
  <sheetData>
    <row r="1" spans="1:17">
      <c r="A1" s="4"/>
      <c r="B1" s="5"/>
      <c r="C1" s="6"/>
      <c r="D1" s="6"/>
      <c r="E1" s="6"/>
      <c r="F1" s="6"/>
      <c r="G1" s="6"/>
      <c r="H1" s="7"/>
      <c r="I1" s="7"/>
      <c r="J1" s="6"/>
      <c r="K1" s="8"/>
      <c r="L1" s="8"/>
      <c r="M1" s="8"/>
      <c r="N1" s="6"/>
      <c r="O1" s="6"/>
      <c r="P1" s="6"/>
      <c r="Q1" s="9"/>
    </row>
    <row r="2" spans="1:17" ht="45.4">
      <c r="A2" s="4"/>
      <c r="B2" s="224" t="s">
        <v>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225"/>
    </row>
    <row r="3" spans="1:17" ht="36.4">
      <c r="A3" s="4"/>
      <c r="B3" s="10"/>
      <c r="C3" s="11"/>
      <c r="D3" s="11"/>
      <c r="E3" s="11"/>
      <c r="F3" s="11"/>
      <c r="G3" s="11"/>
      <c r="H3" s="11"/>
      <c r="I3" s="11"/>
      <c r="J3" s="11"/>
      <c r="K3" s="4"/>
      <c r="L3" s="4"/>
      <c r="M3" s="4"/>
      <c r="N3" s="11"/>
      <c r="O3" s="11"/>
      <c r="P3" s="11"/>
      <c r="Q3" s="12"/>
    </row>
    <row r="4" spans="1:17" ht="17.649999999999999">
      <c r="A4" s="4"/>
      <c r="B4" s="226" t="s">
        <v>12</v>
      </c>
      <c r="C4" s="167"/>
      <c r="D4" s="168" t="s">
        <v>148</v>
      </c>
      <c r="E4" s="169"/>
      <c r="F4" s="169"/>
      <c r="G4" s="13"/>
      <c r="H4" s="14"/>
      <c r="I4" s="15"/>
      <c r="J4" s="16"/>
      <c r="K4" s="4"/>
      <c r="L4" s="4"/>
      <c r="M4" s="4"/>
      <c r="N4" s="16"/>
      <c r="O4" s="17"/>
      <c r="P4" s="17"/>
      <c r="Q4" s="18"/>
    </row>
    <row r="5" spans="1:17" ht="17.649999999999999">
      <c r="A5" s="4"/>
      <c r="B5" s="227" t="s">
        <v>13</v>
      </c>
      <c r="C5" s="135"/>
      <c r="D5" s="168" t="s">
        <v>112</v>
      </c>
      <c r="E5" s="169"/>
      <c r="F5" s="169"/>
      <c r="G5" s="13"/>
      <c r="H5" s="14"/>
      <c r="I5" s="15"/>
      <c r="J5" s="16"/>
      <c r="K5" s="4"/>
      <c r="L5" s="4"/>
      <c r="M5" s="4"/>
      <c r="N5" s="16"/>
      <c r="O5" s="17"/>
      <c r="P5" s="16"/>
      <c r="Q5" s="19"/>
    </row>
    <row r="6" spans="1:17" ht="17.649999999999999">
      <c r="A6" s="4"/>
      <c r="B6" s="227" t="s">
        <v>1</v>
      </c>
      <c r="C6" s="135"/>
      <c r="D6" s="136" t="s">
        <v>147</v>
      </c>
      <c r="E6" s="137"/>
      <c r="F6" s="137"/>
      <c r="G6" s="20"/>
      <c r="H6" s="14"/>
      <c r="I6" s="15"/>
      <c r="J6" s="16"/>
      <c r="K6" s="4"/>
      <c r="L6" s="4"/>
      <c r="M6" s="4"/>
      <c r="N6" s="16"/>
      <c r="O6" s="17"/>
      <c r="P6" s="16"/>
      <c r="Q6" s="19"/>
    </row>
    <row r="7" spans="1:17">
      <c r="A7" s="4"/>
      <c r="B7" s="21"/>
      <c r="C7" s="22"/>
      <c r="D7" s="22"/>
      <c r="E7" s="22"/>
      <c r="F7" s="22"/>
      <c r="G7" s="23"/>
      <c r="H7" s="14"/>
      <c r="I7" s="23"/>
      <c r="J7" s="24"/>
      <c r="K7" s="4"/>
      <c r="L7" s="4"/>
      <c r="M7" s="149" t="s">
        <v>23</v>
      </c>
      <c r="N7" s="149"/>
      <c r="O7" s="149"/>
      <c r="P7" s="149"/>
      <c r="Q7" s="150"/>
    </row>
    <row r="8" spans="1:17" ht="19.149999999999999">
      <c r="A8" s="4"/>
      <c r="B8" s="21"/>
      <c r="C8" s="22"/>
      <c r="D8" s="22"/>
      <c r="E8" s="22"/>
      <c r="F8" s="22"/>
      <c r="G8" s="23"/>
      <c r="H8" s="14"/>
      <c r="I8" s="23"/>
      <c r="J8" s="25"/>
      <c r="K8" s="4"/>
      <c r="L8" s="4"/>
      <c r="M8" s="173" t="s">
        <v>24</v>
      </c>
      <c r="N8" s="174"/>
      <c r="O8" s="174"/>
      <c r="P8" s="174"/>
      <c r="Q8" s="175"/>
    </row>
    <row r="9" spans="1:17">
      <c r="A9" s="4"/>
      <c r="B9" s="26" t="s">
        <v>2</v>
      </c>
      <c r="C9" s="27"/>
      <c r="D9" s="27"/>
      <c r="E9" s="27"/>
      <c r="F9" s="27"/>
      <c r="G9" s="27"/>
      <c r="H9" s="14"/>
      <c r="I9" s="14"/>
      <c r="J9" s="23"/>
      <c r="K9" s="4"/>
      <c r="L9" s="4"/>
      <c r="M9" s="149" t="s">
        <v>3</v>
      </c>
      <c r="N9" s="149"/>
      <c r="O9" s="149"/>
      <c r="P9" s="149"/>
      <c r="Q9" s="150"/>
    </row>
    <row r="10" spans="1:17">
      <c r="A10" s="4"/>
      <c r="B10" s="28"/>
      <c r="C10" s="29"/>
      <c r="D10" s="29"/>
      <c r="E10" s="29"/>
      <c r="F10" s="29"/>
      <c r="G10" s="29"/>
      <c r="H10" s="30"/>
      <c r="I10" s="30"/>
      <c r="J10" s="29"/>
      <c r="K10" s="4"/>
      <c r="L10" s="4"/>
      <c r="M10" s="4"/>
      <c r="N10" s="31"/>
      <c r="O10" s="32"/>
      <c r="P10" s="33"/>
      <c r="Q10" s="34"/>
    </row>
    <row r="11" spans="1:17" ht="20.65">
      <c r="A11" s="4"/>
      <c r="B11" s="218" t="s">
        <v>4</v>
      </c>
      <c r="C11" s="219"/>
      <c r="D11" s="220" t="s">
        <v>5</v>
      </c>
      <c r="E11" s="221"/>
      <c r="F11" s="221"/>
      <c r="G11" s="219"/>
      <c r="H11" s="3" t="s">
        <v>6</v>
      </c>
      <c r="I11" s="3" t="s">
        <v>7</v>
      </c>
      <c r="J11" s="222" t="s">
        <v>8</v>
      </c>
      <c r="K11" s="223"/>
      <c r="L11" s="209" t="s">
        <v>9</v>
      </c>
      <c r="M11" s="210"/>
      <c r="N11" s="210"/>
      <c r="O11" s="211"/>
      <c r="P11" s="212" t="s">
        <v>10</v>
      </c>
      <c r="Q11" s="213"/>
    </row>
    <row r="12" spans="1:17" ht="34.799999999999997" customHeight="1">
      <c r="A12" s="4"/>
      <c r="B12" s="214" t="s">
        <v>18</v>
      </c>
      <c r="C12" s="215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7"/>
    </row>
    <row r="13" spans="1:17" ht="199.8" customHeight="1">
      <c r="A13" s="4"/>
      <c r="B13" s="196" t="s">
        <v>84</v>
      </c>
      <c r="C13" s="197"/>
      <c r="D13" s="206" t="s">
        <v>91</v>
      </c>
      <c r="E13" s="198"/>
      <c r="F13" s="198"/>
      <c r="G13" s="199"/>
      <c r="H13" s="55">
        <v>45</v>
      </c>
      <c r="I13" s="56" t="s">
        <v>27</v>
      </c>
      <c r="J13" s="200">
        <v>5000000</v>
      </c>
      <c r="K13" s="201"/>
      <c r="L13" s="191">
        <f t="shared" ref="L13:L19" si="0">J13*H13</f>
        <v>225000000</v>
      </c>
      <c r="M13" s="192"/>
      <c r="N13" s="192"/>
      <c r="O13" s="193"/>
      <c r="P13" s="202"/>
      <c r="Q13" s="203"/>
    </row>
    <row r="14" spans="1:17" ht="199.8" customHeight="1">
      <c r="A14" s="4"/>
      <c r="B14" s="196" t="s">
        <v>118</v>
      </c>
      <c r="C14" s="197"/>
      <c r="D14" s="206" t="s">
        <v>119</v>
      </c>
      <c r="E14" s="198"/>
      <c r="F14" s="198"/>
      <c r="G14" s="199"/>
      <c r="H14" s="55">
        <v>1</v>
      </c>
      <c r="I14" s="56" t="s">
        <v>31</v>
      </c>
      <c r="J14" s="200">
        <v>100000000</v>
      </c>
      <c r="K14" s="201"/>
      <c r="L14" s="191">
        <f t="shared" ref="L14" si="1">J14*H14</f>
        <v>100000000</v>
      </c>
      <c r="M14" s="192"/>
      <c r="N14" s="192"/>
      <c r="O14" s="193"/>
      <c r="P14" s="207"/>
      <c r="Q14" s="208"/>
    </row>
    <row r="15" spans="1:17" ht="69" customHeight="1">
      <c r="A15" s="4"/>
      <c r="B15" s="204" t="s">
        <v>85</v>
      </c>
      <c r="C15" s="205"/>
      <c r="D15" s="206" t="s">
        <v>86</v>
      </c>
      <c r="E15" s="198"/>
      <c r="F15" s="198"/>
      <c r="G15" s="199"/>
      <c r="H15" s="55">
        <v>1</v>
      </c>
      <c r="I15" s="56" t="s">
        <v>31</v>
      </c>
      <c r="J15" s="200">
        <v>80000000</v>
      </c>
      <c r="K15" s="201"/>
      <c r="L15" s="191">
        <f t="shared" si="0"/>
        <v>80000000</v>
      </c>
      <c r="M15" s="192"/>
      <c r="N15" s="192"/>
      <c r="O15" s="193"/>
      <c r="P15" s="207"/>
      <c r="Q15" s="208"/>
    </row>
    <row r="16" spans="1:17" ht="115.9" customHeight="1">
      <c r="A16" s="4"/>
      <c r="B16" s="204" t="s">
        <v>70</v>
      </c>
      <c r="C16" s="205"/>
      <c r="D16" s="253" t="s">
        <v>87</v>
      </c>
      <c r="E16" s="254"/>
      <c r="F16" s="254"/>
      <c r="G16" s="255"/>
      <c r="H16" s="55">
        <v>1</v>
      </c>
      <c r="I16" s="56" t="s">
        <v>31</v>
      </c>
      <c r="J16" s="200">
        <v>0</v>
      </c>
      <c r="K16" s="201"/>
      <c r="L16" s="191">
        <f t="shared" si="0"/>
        <v>0</v>
      </c>
      <c r="M16" s="192"/>
      <c r="N16" s="192"/>
      <c r="O16" s="193"/>
      <c r="P16" s="194" t="s">
        <v>72</v>
      </c>
      <c r="Q16" s="195"/>
    </row>
    <row r="17" spans="1:17" ht="115.9" customHeight="1">
      <c r="A17" s="4"/>
      <c r="B17" s="204" t="s">
        <v>71</v>
      </c>
      <c r="C17" s="205"/>
      <c r="D17" s="206" t="s">
        <v>120</v>
      </c>
      <c r="E17" s="256"/>
      <c r="F17" s="256"/>
      <c r="G17" s="257"/>
      <c r="H17" s="55">
        <v>1</v>
      </c>
      <c r="I17" s="56" t="s">
        <v>31</v>
      </c>
      <c r="J17" s="200">
        <v>300000000</v>
      </c>
      <c r="K17" s="201"/>
      <c r="L17" s="191">
        <f t="shared" ref="L17:L19" si="2">J17*H17</f>
        <v>300000000</v>
      </c>
      <c r="M17" s="192"/>
      <c r="N17" s="192"/>
      <c r="O17" s="193"/>
      <c r="P17" s="194" t="s">
        <v>76</v>
      </c>
      <c r="Q17" s="195"/>
    </row>
    <row r="18" spans="1:17" ht="115.9" customHeight="1">
      <c r="A18" s="4"/>
      <c r="B18" s="204" t="s">
        <v>129</v>
      </c>
      <c r="C18" s="205"/>
      <c r="D18" s="206" t="s">
        <v>134</v>
      </c>
      <c r="E18" s="256"/>
      <c r="F18" s="256"/>
      <c r="G18" s="257"/>
      <c r="H18" s="55">
        <v>1</v>
      </c>
      <c r="I18" s="56" t="s">
        <v>31</v>
      </c>
      <c r="J18" s="200">
        <v>0</v>
      </c>
      <c r="K18" s="201"/>
      <c r="L18" s="191">
        <f t="shared" si="2"/>
        <v>0</v>
      </c>
      <c r="M18" s="192"/>
      <c r="N18" s="192"/>
      <c r="O18" s="193"/>
      <c r="P18" s="194" t="s">
        <v>135</v>
      </c>
      <c r="Q18" s="195"/>
    </row>
    <row r="19" spans="1:17" ht="158.25" customHeight="1">
      <c r="A19" s="4"/>
      <c r="B19" s="204" t="s">
        <v>131</v>
      </c>
      <c r="C19" s="205"/>
      <c r="D19" s="206" t="s">
        <v>137</v>
      </c>
      <c r="E19" s="256"/>
      <c r="F19" s="256"/>
      <c r="G19" s="257"/>
      <c r="H19" s="55">
        <v>45</v>
      </c>
      <c r="I19" s="56" t="s">
        <v>26</v>
      </c>
      <c r="J19" s="200">
        <v>0</v>
      </c>
      <c r="K19" s="201"/>
      <c r="L19" s="191">
        <f t="shared" si="2"/>
        <v>0</v>
      </c>
      <c r="M19" s="192"/>
      <c r="N19" s="192"/>
      <c r="O19" s="193"/>
      <c r="P19" s="194" t="s">
        <v>136</v>
      </c>
      <c r="Q19" s="195"/>
    </row>
    <row r="20" spans="1:17" ht="31.25" customHeight="1" thickBot="1">
      <c r="A20" s="4"/>
      <c r="B20" s="247" t="s">
        <v>11</v>
      </c>
      <c r="C20" s="248"/>
      <c r="D20" s="248"/>
      <c r="E20" s="248"/>
      <c r="F20" s="248"/>
      <c r="G20" s="248"/>
      <c r="H20" s="248"/>
      <c r="I20" s="248"/>
      <c r="J20" s="248"/>
      <c r="K20" s="248"/>
      <c r="L20" s="249">
        <f>SUM(L13:L19)</f>
        <v>705000000</v>
      </c>
      <c r="M20" s="250"/>
      <c r="N20" s="250"/>
      <c r="O20" s="251"/>
      <c r="P20" s="250"/>
      <c r="Q20" s="252"/>
    </row>
    <row r="21" spans="1:17" ht="25.25" customHeight="1">
      <c r="A21" s="4"/>
      <c r="B21" s="228"/>
      <c r="C21" s="229"/>
      <c r="D21" s="229"/>
      <c r="E21" s="229"/>
      <c r="F21" s="229"/>
      <c r="G21" s="229"/>
      <c r="H21" s="230"/>
      <c r="I21" s="237" t="s">
        <v>15</v>
      </c>
      <c r="J21" s="238"/>
      <c r="K21" s="238"/>
      <c r="L21" s="239">
        <f>L20</f>
        <v>705000000</v>
      </c>
      <c r="M21" s="239"/>
      <c r="N21" s="239"/>
      <c r="O21" s="240"/>
      <c r="P21" s="240"/>
      <c r="Q21" s="241"/>
    </row>
    <row r="22" spans="1:17" ht="25.25" customHeight="1">
      <c r="A22" s="4"/>
      <c r="B22" s="231"/>
      <c r="C22" s="232"/>
      <c r="D22" s="232"/>
      <c r="E22" s="232"/>
      <c r="F22" s="232"/>
      <c r="G22" s="232"/>
      <c r="H22" s="233"/>
      <c r="I22" s="237" t="s">
        <v>81</v>
      </c>
      <c r="J22" s="238"/>
      <c r="K22" s="238"/>
      <c r="L22" s="239">
        <f>L21*0.6</f>
        <v>423000000</v>
      </c>
      <c r="M22" s="239"/>
      <c r="N22" s="239"/>
      <c r="O22" s="240"/>
      <c r="P22" s="240"/>
      <c r="Q22" s="241"/>
    </row>
    <row r="23" spans="1:17" ht="27" customHeight="1">
      <c r="A23" s="4"/>
      <c r="B23" s="231"/>
      <c r="C23" s="232"/>
      <c r="D23" s="232"/>
      <c r="E23" s="232"/>
      <c r="F23" s="232"/>
      <c r="G23" s="232"/>
      <c r="H23" s="233"/>
      <c r="I23" s="237" t="s">
        <v>16</v>
      </c>
      <c r="J23" s="238"/>
      <c r="K23" s="238"/>
      <c r="L23" s="239">
        <f>L22*0.1</f>
        <v>42300000</v>
      </c>
      <c r="M23" s="239"/>
      <c r="N23" s="239"/>
      <c r="O23" s="240"/>
      <c r="P23" s="240"/>
      <c r="Q23" s="241"/>
    </row>
    <row r="24" spans="1:17" ht="25.25" customHeight="1" thickBot="1">
      <c r="A24" s="4"/>
      <c r="B24" s="234"/>
      <c r="C24" s="235"/>
      <c r="D24" s="235"/>
      <c r="E24" s="235"/>
      <c r="F24" s="235"/>
      <c r="G24" s="235"/>
      <c r="H24" s="236"/>
      <c r="I24" s="242" t="s">
        <v>17</v>
      </c>
      <c r="J24" s="243"/>
      <c r="K24" s="243"/>
      <c r="L24" s="244">
        <f>SUM(L22:N23)</f>
        <v>465300000</v>
      </c>
      <c r="M24" s="244"/>
      <c r="N24" s="244"/>
      <c r="O24" s="245"/>
      <c r="P24" s="245"/>
      <c r="Q24" s="246"/>
    </row>
  </sheetData>
  <mergeCells count="63">
    <mergeCell ref="P17:Q17"/>
    <mergeCell ref="B18:C18"/>
    <mergeCell ref="D18:G18"/>
    <mergeCell ref="J18:K18"/>
    <mergeCell ref="L18:O18"/>
    <mergeCell ref="P18:Q18"/>
    <mergeCell ref="B20:K20"/>
    <mergeCell ref="L20:O20"/>
    <mergeCell ref="P20:Q20"/>
    <mergeCell ref="B16:C16"/>
    <mergeCell ref="D16:G16"/>
    <mergeCell ref="J16:K16"/>
    <mergeCell ref="L16:O16"/>
    <mergeCell ref="P16:Q16"/>
    <mergeCell ref="B19:C19"/>
    <mergeCell ref="D19:G19"/>
    <mergeCell ref="J19:K19"/>
    <mergeCell ref="B21:H24"/>
    <mergeCell ref="I21:K21"/>
    <mergeCell ref="L21:Q21"/>
    <mergeCell ref="I23:K23"/>
    <mergeCell ref="L23:Q23"/>
    <mergeCell ref="I24:K24"/>
    <mergeCell ref="L24:Q24"/>
    <mergeCell ref="I22:K22"/>
    <mergeCell ref="L22:Q22"/>
    <mergeCell ref="B2:Q2"/>
    <mergeCell ref="B4:C4"/>
    <mergeCell ref="D4:F4"/>
    <mergeCell ref="B5:C5"/>
    <mergeCell ref="M7:Q7"/>
    <mergeCell ref="B6:C6"/>
    <mergeCell ref="D6:F6"/>
    <mergeCell ref="D5:F5"/>
    <mergeCell ref="M8:Q8"/>
    <mergeCell ref="M9:Q9"/>
    <mergeCell ref="L13:O13"/>
    <mergeCell ref="P13:Q13"/>
    <mergeCell ref="B13:C13"/>
    <mergeCell ref="D13:G13"/>
    <mergeCell ref="L11:O11"/>
    <mergeCell ref="P11:Q11"/>
    <mergeCell ref="B12:Q12"/>
    <mergeCell ref="J13:K13"/>
    <mergeCell ref="B11:C11"/>
    <mergeCell ref="D11:G11"/>
    <mergeCell ref="J11:K11"/>
    <mergeCell ref="L19:O19"/>
    <mergeCell ref="P19:Q19"/>
    <mergeCell ref="B14:C14"/>
    <mergeCell ref="D14:G14"/>
    <mergeCell ref="J14:K14"/>
    <mergeCell ref="L14:O14"/>
    <mergeCell ref="P14:Q14"/>
    <mergeCell ref="B15:C15"/>
    <mergeCell ref="D15:G15"/>
    <mergeCell ref="J15:K15"/>
    <mergeCell ref="L15:O15"/>
    <mergeCell ref="P15:Q15"/>
    <mergeCell ref="B17:C17"/>
    <mergeCell ref="D17:G17"/>
    <mergeCell ref="J17:K17"/>
    <mergeCell ref="L17:O17"/>
  </mergeCells>
  <phoneticPr fontId="2" type="noConversion"/>
  <hyperlinks>
    <hyperlink ref="M8" r:id="rId1" xr:uid="{E54EF569-4D04-4282-A89F-6F32FDA20680}"/>
  </hyperlinks>
  <pageMargins left="0.7" right="0.7" top="0.75" bottom="0.75" header="0.3" footer="0.3"/>
  <pageSetup paperSize="9" scale="43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C23F-874F-4774-8F3C-C30FC024D0B7}">
  <sheetPr>
    <pageSetUpPr fitToPage="1"/>
  </sheetPr>
  <dimension ref="A1:Q26"/>
  <sheetViews>
    <sheetView zoomScale="70" zoomScaleNormal="70" workbookViewId="0">
      <selection activeCell="D4" sqref="D4:F4"/>
    </sheetView>
  </sheetViews>
  <sheetFormatPr defaultRowHeight="16.899999999999999"/>
  <cols>
    <col min="1" max="1" width="2" customWidth="1"/>
    <col min="2" max="2" width="6.3125" customWidth="1"/>
    <col min="3" max="3" width="20.1875" customWidth="1"/>
    <col min="4" max="4" width="8.875" customWidth="1"/>
    <col min="5" max="5" width="11.125" bestFit="1" customWidth="1"/>
    <col min="6" max="6" width="13.875" bestFit="1" customWidth="1"/>
    <col min="7" max="7" width="7.625" customWidth="1"/>
    <col min="8" max="8" width="6.3125" bestFit="1" customWidth="1"/>
    <col min="9" max="9" width="14.3125" customWidth="1"/>
    <col min="10" max="10" width="25.625" customWidth="1"/>
    <col min="11" max="11" width="6.375" bestFit="1" customWidth="1"/>
    <col min="12" max="12" width="5.8125" bestFit="1" customWidth="1"/>
    <col min="13" max="13" width="8.8125" bestFit="1" customWidth="1"/>
    <col min="14" max="14" width="5" bestFit="1" customWidth="1"/>
    <col min="15" max="15" width="14" bestFit="1" customWidth="1"/>
    <col min="16" max="16" width="16" bestFit="1" customWidth="1"/>
    <col min="17" max="17" width="22.625" customWidth="1"/>
  </cols>
  <sheetData>
    <row r="1" spans="1:17">
      <c r="A1" s="4"/>
      <c r="B1" s="5"/>
      <c r="C1" s="6"/>
      <c r="D1" s="6"/>
      <c r="E1" s="6"/>
      <c r="F1" s="6"/>
      <c r="G1" s="6"/>
      <c r="H1" s="7"/>
      <c r="I1" s="7"/>
      <c r="J1" s="6"/>
      <c r="K1" s="8"/>
      <c r="L1" s="8"/>
      <c r="M1" s="8"/>
      <c r="N1" s="6"/>
      <c r="O1" s="6"/>
      <c r="P1" s="6"/>
      <c r="Q1" s="9"/>
    </row>
    <row r="2" spans="1:17" ht="45.4">
      <c r="A2" s="4"/>
      <c r="B2" s="224" t="s">
        <v>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225"/>
    </row>
    <row r="3" spans="1:17" ht="36.4">
      <c r="A3" s="4"/>
      <c r="B3" s="10"/>
      <c r="C3" s="11"/>
      <c r="D3" s="11"/>
      <c r="E3" s="11"/>
      <c r="F3" s="11"/>
      <c r="G3" s="11"/>
      <c r="H3" s="11"/>
      <c r="I3" s="11"/>
      <c r="J3" s="11"/>
      <c r="K3" s="4"/>
      <c r="L3" s="4"/>
      <c r="M3" s="4"/>
      <c r="N3" s="11"/>
      <c r="O3" s="11"/>
      <c r="P3" s="11"/>
      <c r="Q3" s="12"/>
    </row>
    <row r="4" spans="1:17" ht="17.649999999999999">
      <c r="A4" s="4"/>
      <c r="B4" s="226" t="s">
        <v>12</v>
      </c>
      <c r="C4" s="167"/>
      <c r="D4" s="168" t="s">
        <v>148</v>
      </c>
      <c r="E4" s="169"/>
      <c r="F4" s="169"/>
      <c r="G4" s="13"/>
      <c r="H4" s="14"/>
      <c r="I4" s="15"/>
      <c r="J4" s="16"/>
      <c r="K4" s="4"/>
      <c r="L4" s="4"/>
      <c r="M4" s="4"/>
      <c r="N4" s="16"/>
      <c r="O4" s="17"/>
      <c r="P4" s="17"/>
      <c r="Q4" s="18"/>
    </row>
    <row r="5" spans="1:17" ht="17.649999999999999">
      <c r="A5" s="4"/>
      <c r="B5" s="227" t="s">
        <v>13</v>
      </c>
      <c r="C5" s="135"/>
      <c r="D5" s="168" t="s">
        <v>112</v>
      </c>
      <c r="E5" s="169"/>
      <c r="F5" s="169"/>
      <c r="G5" s="13"/>
      <c r="H5" s="14"/>
      <c r="I5" s="15"/>
      <c r="J5" s="16"/>
      <c r="K5" s="4"/>
      <c r="L5" s="4"/>
      <c r="M5" s="4"/>
      <c r="N5" s="16"/>
      <c r="O5" s="17"/>
      <c r="P5" s="16"/>
      <c r="Q5" s="19"/>
    </row>
    <row r="6" spans="1:17" ht="17.649999999999999">
      <c r="A6" s="4"/>
      <c r="B6" s="227" t="s">
        <v>1</v>
      </c>
      <c r="C6" s="135"/>
      <c r="D6" s="136" t="s">
        <v>147</v>
      </c>
      <c r="E6" s="137"/>
      <c r="F6" s="137"/>
      <c r="G6" s="20"/>
      <c r="H6" s="14"/>
      <c r="I6" s="15"/>
      <c r="J6" s="16"/>
      <c r="K6" s="4"/>
      <c r="L6" s="4"/>
      <c r="M6" s="4"/>
      <c r="N6" s="16"/>
      <c r="O6" s="17"/>
      <c r="P6" s="16"/>
      <c r="Q6" s="19"/>
    </row>
    <row r="7" spans="1:17">
      <c r="A7" s="4"/>
      <c r="B7" s="21"/>
      <c r="C7" s="22"/>
      <c r="D7" s="22"/>
      <c r="E7" s="22"/>
      <c r="F7" s="22"/>
      <c r="G7" s="23"/>
      <c r="H7" s="14"/>
      <c r="I7" s="23"/>
      <c r="J7" s="24"/>
      <c r="K7" s="4"/>
      <c r="L7" s="4"/>
      <c r="M7" s="149" t="s">
        <v>23</v>
      </c>
      <c r="N7" s="149"/>
      <c r="O7" s="149"/>
      <c r="P7" s="149"/>
      <c r="Q7" s="150"/>
    </row>
    <row r="8" spans="1:17" ht="19.149999999999999">
      <c r="A8" s="4"/>
      <c r="B8" s="21"/>
      <c r="C8" s="22"/>
      <c r="D8" s="22"/>
      <c r="E8" s="22"/>
      <c r="F8" s="22"/>
      <c r="G8" s="23"/>
      <c r="H8" s="14"/>
      <c r="I8" s="23"/>
      <c r="J8" s="25"/>
      <c r="K8" s="4"/>
      <c r="L8" s="4"/>
      <c r="M8" s="173" t="s">
        <v>24</v>
      </c>
      <c r="N8" s="174"/>
      <c r="O8" s="174"/>
      <c r="P8" s="174"/>
      <c r="Q8" s="175"/>
    </row>
    <row r="9" spans="1:17">
      <c r="A9" s="4"/>
      <c r="B9" s="26" t="s">
        <v>2</v>
      </c>
      <c r="C9" s="27"/>
      <c r="D9" s="27"/>
      <c r="E9" s="27"/>
      <c r="F9" s="27"/>
      <c r="G9" s="27"/>
      <c r="H9" s="14"/>
      <c r="I9" s="14"/>
      <c r="J9" s="23"/>
      <c r="K9" s="4"/>
      <c r="L9" s="4"/>
      <c r="M9" s="149" t="s">
        <v>3</v>
      </c>
      <c r="N9" s="149"/>
      <c r="O9" s="149"/>
      <c r="P9" s="149"/>
      <c r="Q9" s="150"/>
    </row>
    <row r="10" spans="1:17">
      <c r="A10" s="4"/>
      <c r="B10" s="28"/>
      <c r="C10" s="29"/>
      <c r="D10" s="29"/>
      <c r="E10" s="29"/>
      <c r="F10" s="29"/>
      <c r="G10" s="29"/>
      <c r="H10" s="30"/>
      <c r="I10" s="30"/>
      <c r="J10" s="29"/>
      <c r="K10" s="4"/>
      <c r="L10" s="4"/>
      <c r="M10" s="4"/>
      <c r="N10" s="31"/>
      <c r="O10" s="32"/>
      <c r="P10" s="33"/>
      <c r="Q10" s="34"/>
    </row>
    <row r="11" spans="1:17" ht="20.65">
      <c r="A11" s="4"/>
      <c r="B11" s="218" t="s">
        <v>4</v>
      </c>
      <c r="C11" s="219"/>
      <c r="D11" s="220" t="s">
        <v>5</v>
      </c>
      <c r="E11" s="221"/>
      <c r="F11" s="221"/>
      <c r="G11" s="219"/>
      <c r="H11" s="3" t="s">
        <v>6</v>
      </c>
      <c r="I11" s="3" t="s">
        <v>7</v>
      </c>
      <c r="J11" s="222" t="s">
        <v>8</v>
      </c>
      <c r="K11" s="223"/>
      <c r="L11" s="209" t="s">
        <v>9</v>
      </c>
      <c r="M11" s="210"/>
      <c r="N11" s="210"/>
      <c r="O11" s="211"/>
      <c r="P11" s="212" t="s">
        <v>10</v>
      </c>
      <c r="Q11" s="213"/>
    </row>
    <row r="12" spans="1:17" ht="31.25" customHeight="1">
      <c r="A12" s="4"/>
      <c r="B12" s="277" t="s">
        <v>25</v>
      </c>
      <c r="C12" s="278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80"/>
    </row>
    <row r="13" spans="1:17" ht="87.4" customHeight="1">
      <c r="A13" s="4"/>
      <c r="B13" s="258" t="s">
        <v>33</v>
      </c>
      <c r="C13" s="259"/>
      <c r="D13" s="260" t="s">
        <v>37</v>
      </c>
      <c r="E13" s="261"/>
      <c r="F13" s="261"/>
      <c r="G13" s="262"/>
      <c r="H13" s="1">
        <v>1</v>
      </c>
      <c r="I13" s="2" t="s">
        <v>14</v>
      </c>
      <c r="J13" s="263">
        <v>10000000</v>
      </c>
      <c r="K13" s="264"/>
      <c r="L13" s="265">
        <f>H13*J13</f>
        <v>10000000</v>
      </c>
      <c r="M13" s="266"/>
      <c r="N13" s="266"/>
      <c r="O13" s="267"/>
      <c r="P13" s="281"/>
      <c r="Q13" s="282"/>
    </row>
    <row r="14" spans="1:17" ht="136.9" customHeight="1">
      <c r="A14" s="4"/>
      <c r="B14" s="258" t="s">
        <v>79</v>
      </c>
      <c r="C14" s="259"/>
      <c r="D14" s="260" t="s">
        <v>109</v>
      </c>
      <c r="E14" s="261"/>
      <c r="F14" s="261"/>
      <c r="G14" s="262"/>
      <c r="H14" s="36">
        <v>2</v>
      </c>
      <c r="I14" s="37" t="s">
        <v>14</v>
      </c>
      <c r="J14" s="273">
        <v>10000000</v>
      </c>
      <c r="K14" s="274"/>
      <c r="L14" s="275">
        <f t="shared" ref="L14:L15" si="0">J14*H14</f>
        <v>20000000</v>
      </c>
      <c r="M14" s="132"/>
      <c r="N14" s="132"/>
      <c r="O14" s="276"/>
      <c r="P14" s="271"/>
      <c r="Q14" s="272"/>
    </row>
    <row r="15" spans="1:17" ht="91.5" customHeight="1">
      <c r="A15" s="4"/>
      <c r="B15" s="258" t="s">
        <v>80</v>
      </c>
      <c r="C15" s="259"/>
      <c r="D15" s="260" t="s">
        <v>92</v>
      </c>
      <c r="E15" s="261"/>
      <c r="F15" s="261"/>
      <c r="G15" s="262"/>
      <c r="H15" s="36">
        <v>4</v>
      </c>
      <c r="I15" s="37" t="s">
        <v>14</v>
      </c>
      <c r="J15" s="273">
        <v>10000000</v>
      </c>
      <c r="K15" s="274"/>
      <c r="L15" s="275">
        <f t="shared" si="0"/>
        <v>40000000</v>
      </c>
      <c r="M15" s="132"/>
      <c r="N15" s="132"/>
      <c r="O15" s="276"/>
      <c r="P15" s="268"/>
      <c r="Q15" s="269"/>
    </row>
    <row r="16" spans="1:17" ht="105.75" customHeight="1">
      <c r="A16" s="4"/>
      <c r="B16" s="258" t="s">
        <v>88</v>
      </c>
      <c r="C16" s="259"/>
      <c r="D16" s="260" t="s">
        <v>108</v>
      </c>
      <c r="E16" s="261"/>
      <c r="F16" s="261"/>
      <c r="G16" s="262"/>
      <c r="H16" s="1">
        <v>2</v>
      </c>
      <c r="I16" s="2" t="s">
        <v>14</v>
      </c>
      <c r="J16" s="263">
        <v>10000000</v>
      </c>
      <c r="K16" s="264"/>
      <c r="L16" s="265">
        <f t="shared" ref="L16" si="1">H16*J16</f>
        <v>20000000</v>
      </c>
      <c r="M16" s="266"/>
      <c r="N16" s="266"/>
      <c r="O16" s="267"/>
      <c r="P16" s="268"/>
      <c r="Q16" s="269"/>
    </row>
    <row r="17" spans="1:17" ht="127.9" customHeight="1">
      <c r="A17" s="4"/>
      <c r="B17" s="258" t="s">
        <v>125</v>
      </c>
      <c r="C17" s="259"/>
      <c r="D17" s="260" t="s">
        <v>29</v>
      </c>
      <c r="E17" s="261"/>
      <c r="F17" s="261"/>
      <c r="G17" s="262"/>
      <c r="H17" s="1">
        <v>4</v>
      </c>
      <c r="I17" s="2" t="s">
        <v>14</v>
      </c>
      <c r="J17" s="263">
        <v>10000000</v>
      </c>
      <c r="K17" s="264"/>
      <c r="L17" s="265">
        <f>H17*J17</f>
        <v>40000000</v>
      </c>
      <c r="M17" s="266"/>
      <c r="N17" s="266"/>
      <c r="O17" s="267"/>
      <c r="P17" s="268"/>
      <c r="Q17" s="269"/>
    </row>
    <row r="18" spans="1:17" ht="83.65" customHeight="1">
      <c r="A18" s="4"/>
      <c r="B18" s="258" t="s">
        <v>38</v>
      </c>
      <c r="C18" s="259"/>
      <c r="D18" s="260" t="s">
        <v>39</v>
      </c>
      <c r="E18" s="261"/>
      <c r="F18" s="261"/>
      <c r="G18" s="262"/>
      <c r="H18" s="1">
        <v>4</v>
      </c>
      <c r="I18" s="2" t="s">
        <v>14</v>
      </c>
      <c r="J18" s="263">
        <v>10000000</v>
      </c>
      <c r="K18" s="264"/>
      <c r="L18" s="265">
        <f t="shared" ref="L18" si="2">H18*J18</f>
        <v>40000000</v>
      </c>
      <c r="M18" s="266"/>
      <c r="N18" s="266"/>
      <c r="O18" s="267"/>
      <c r="P18" s="268"/>
      <c r="Q18" s="269"/>
    </row>
    <row r="19" spans="1:17" ht="138.75" customHeight="1">
      <c r="A19" s="4"/>
      <c r="B19" s="258" t="s">
        <v>116</v>
      </c>
      <c r="C19" s="259"/>
      <c r="D19" s="260" t="s">
        <v>126</v>
      </c>
      <c r="E19" s="261"/>
      <c r="F19" s="261"/>
      <c r="G19" s="262"/>
      <c r="H19" s="1">
        <v>1</v>
      </c>
      <c r="I19" s="2" t="s">
        <v>14</v>
      </c>
      <c r="J19" s="263">
        <v>8000000</v>
      </c>
      <c r="K19" s="264"/>
      <c r="L19" s="265">
        <f t="shared" ref="L19:L22" si="3">H19*J19</f>
        <v>8000000</v>
      </c>
      <c r="M19" s="266"/>
      <c r="N19" s="266"/>
      <c r="O19" s="267"/>
      <c r="P19" s="268"/>
      <c r="Q19" s="269"/>
    </row>
    <row r="20" spans="1:17" ht="156.75" customHeight="1">
      <c r="A20" s="4"/>
      <c r="B20" s="258" t="s">
        <v>35</v>
      </c>
      <c r="C20" s="259"/>
      <c r="D20" s="260" t="s">
        <v>40</v>
      </c>
      <c r="E20" s="261"/>
      <c r="F20" s="261"/>
      <c r="G20" s="262"/>
      <c r="H20" s="1">
        <v>2</v>
      </c>
      <c r="I20" s="2" t="s">
        <v>14</v>
      </c>
      <c r="J20" s="263">
        <v>8000000</v>
      </c>
      <c r="K20" s="264"/>
      <c r="L20" s="265">
        <f t="shared" ref="L20:L21" si="4">H20*J20</f>
        <v>16000000</v>
      </c>
      <c r="M20" s="266"/>
      <c r="N20" s="266"/>
      <c r="O20" s="267"/>
      <c r="P20" s="268" t="s">
        <v>128</v>
      </c>
      <c r="Q20" s="269"/>
    </row>
    <row r="21" spans="1:17" ht="106.8" customHeight="1">
      <c r="A21" s="4"/>
      <c r="B21" s="258" t="s">
        <v>90</v>
      </c>
      <c r="C21" s="259"/>
      <c r="D21" s="260" t="s">
        <v>89</v>
      </c>
      <c r="E21" s="261"/>
      <c r="F21" s="261"/>
      <c r="G21" s="262"/>
      <c r="H21" s="1">
        <v>1</v>
      </c>
      <c r="I21" s="2" t="s">
        <v>14</v>
      </c>
      <c r="J21" s="263">
        <v>10000000</v>
      </c>
      <c r="K21" s="264"/>
      <c r="L21" s="265">
        <f t="shared" si="4"/>
        <v>10000000</v>
      </c>
      <c r="M21" s="266"/>
      <c r="N21" s="266"/>
      <c r="O21" s="267"/>
      <c r="P21" s="270"/>
      <c r="Q21" s="269"/>
    </row>
    <row r="22" spans="1:17" ht="105.75" customHeight="1">
      <c r="A22" s="4"/>
      <c r="B22" s="258" t="s">
        <v>28</v>
      </c>
      <c r="C22" s="259"/>
      <c r="D22" s="260" t="s">
        <v>30</v>
      </c>
      <c r="E22" s="261"/>
      <c r="F22" s="261"/>
      <c r="G22" s="262"/>
      <c r="H22" s="1">
        <v>1</v>
      </c>
      <c r="I22" s="2" t="s">
        <v>14</v>
      </c>
      <c r="J22" s="263">
        <v>10000000</v>
      </c>
      <c r="K22" s="264"/>
      <c r="L22" s="265">
        <f t="shared" si="3"/>
        <v>10000000</v>
      </c>
      <c r="M22" s="266"/>
      <c r="N22" s="266"/>
      <c r="O22" s="267"/>
      <c r="P22" s="270" t="s">
        <v>127</v>
      </c>
      <c r="Q22" s="269"/>
    </row>
    <row r="23" spans="1:17" ht="31.25" customHeight="1" thickBot="1">
      <c r="A23" s="4"/>
      <c r="B23" s="247" t="s">
        <v>11</v>
      </c>
      <c r="C23" s="248"/>
      <c r="D23" s="248"/>
      <c r="E23" s="248"/>
      <c r="F23" s="248"/>
      <c r="G23" s="248"/>
      <c r="H23" s="248"/>
      <c r="I23" s="248"/>
      <c r="J23" s="248"/>
      <c r="K23" s="248"/>
      <c r="L23" s="249">
        <f>SUM(L13:L22)</f>
        <v>214000000</v>
      </c>
      <c r="M23" s="250"/>
      <c r="N23" s="250"/>
      <c r="O23" s="251"/>
      <c r="P23" s="250"/>
      <c r="Q23" s="252"/>
    </row>
    <row r="24" spans="1:17" ht="25.25" customHeight="1">
      <c r="A24" s="4"/>
      <c r="B24" s="228"/>
      <c r="C24" s="229"/>
      <c r="D24" s="229"/>
      <c r="E24" s="229"/>
      <c r="F24" s="229"/>
      <c r="G24" s="229"/>
      <c r="H24" s="230"/>
      <c r="I24" s="237" t="s">
        <v>15</v>
      </c>
      <c r="J24" s="238"/>
      <c r="K24" s="238"/>
      <c r="L24" s="239">
        <f>L23</f>
        <v>214000000</v>
      </c>
      <c r="M24" s="239"/>
      <c r="N24" s="239"/>
      <c r="O24" s="240"/>
      <c r="P24" s="240"/>
      <c r="Q24" s="241"/>
    </row>
    <row r="25" spans="1:17" ht="27" customHeight="1">
      <c r="A25" s="4"/>
      <c r="B25" s="231"/>
      <c r="C25" s="232"/>
      <c r="D25" s="232"/>
      <c r="E25" s="232"/>
      <c r="F25" s="232"/>
      <c r="G25" s="232"/>
      <c r="H25" s="233"/>
      <c r="I25" s="237" t="s">
        <v>16</v>
      </c>
      <c r="J25" s="238"/>
      <c r="K25" s="238"/>
      <c r="L25" s="239">
        <f>L24*0.1</f>
        <v>21400000</v>
      </c>
      <c r="M25" s="239"/>
      <c r="N25" s="239"/>
      <c r="O25" s="240"/>
      <c r="P25" s="240"/>
      <c r="Q25" s="241"/>
    </row>
    <row r="26" spans="1:17" ht="25.25" customHeight="1" thickBot="1">
      <c r="A26" s="4"/>
      <c r="B26" s="234"/>
      <c r="C26" s="235"/>
      <c r="D26" s="235"/>
      <c r="E26" s="235"/>
      <c r="F26" s="235"/>
      <c r="G26" s="235"/>
      <c r="H26" s="236"/>
      <c r="I26" s="242" t="s">
        <v>17</v>
      </c>
      <c r="J26" s="243"/>
      <c r="K26" s="243"/>
      <c r="L26" s="244">
        <f>SUM(L24:N25)</f>
        <v>235400000</v>
      </c>
      <c r="M26" s="244"/>
      <c r="N26" s="244"/>
      <c r="O26" s="245"/>
      <c r="P26" s="245"/>
      <c r="Q26" s="246"/>
    </row>
  </sheetData>
  <mergeCells count="76">
    <mergeCell ref="D5:F5"/>
    <mergeCell ref="B22:C22"/>
    <mergeCell ref="D22:G22"/>
    <mergeCell ref="J22:K22"/>
    <mergeCell ref="L22:O22"/>
    <mergeCell ref="P22:Q22"/>
    <mergeCell ref="B17:C17"/>
    <mergeCell ref="D17:G17"/>
    <mergeCell ref="J17:K17"/>
    <mergeCell ref="L17:O17"/>
    <mergeCell ref="P17:Q17"/>
    <mergeCell ref="B23:K23"/>
    <mergeCell ref="L23:O23"/>
    <mergeCell ref="P23:Q23"/>
    <mergeCell ref="B13:C13"/>
    <mergeCell ref="D13:G13"/>
    <mergeCell ref="P13:Q13"/>
    <mergeCell ref="J13:K13"/>
    <mergeCell ref="L13:O13"/>
    <mergeCell ref="B19:C19"/>
    <mergeCell ref="D19:G19"/>
    <mergeCell ref="J19:K19"/>
    <mergeCell ref="L19:O19"/>
    <mergeCell ref="P19:Q19"/>
    <mergeCell ref="B16:C16"/>
    <mergeCell ref="D16:G16"/>
    <mergeCell ref="J16:K16"/>
    <mergeCell ref="B24:H26"/>
    <mergeCell ref="I24:K24"/>
    <mergeCell ref="L24:Q24"/>
    <mergeCell ref="I25:K25"/>
    <mergeCell ref="L25:Q25"/>
    <mergeCell ref="I26:K26"/>
    <mergeCell ref="L26:Q26"/>
    <mergeCell ref="B11:C11"/>
    <mergeCell ref="D11:G11"/>
    <mergeCell ref="J11:K11"/>
    <mergeCell ref="L11:O11"/>
    <mergeCell ref="B12:Q12"/>
    <mergeCell ref="P11:Q11"/>
    <mergeCell ref="M7:Q7"/>
    <mergeCell ref="M8:Q8"/>
    <mergeCell ref="M9:Q9"/>
    <mergeCell ref="B6:C6"/>
    <mergeCell ref="D6:F6"/>
    <mergeCell ref="B2:Q2"/>
    <mergeCell ref="B4:C4"/>
    <mergeCell ref="D4:F4"/>
    <mergeCell ref="B5:C5"/>
    <mergeCell ref="L16:O16"/>
    <mergeCell ref="P16:Q16"/>
    <mergeCell ref="B14:C14"/>
    <mergeCell ref="D14:G14"/>
    <mergeCell ref="J14:K14"/>
    <mergeCell ref="L14:O14"/>
    <mergeCell ref="P14:Q14"/>
    <mergeCell ref="B15:C15"/>
    <mergeCell ref="D15:G15"/>
    <mergeCell ref="J15:K15"/>
    <mergeCell ref="L15:O15"/>
    <mergeCell ref="P15:Q15"/>
    <mergeCell ref="B18:C18"/>
    <mergeCell ref="D18:G18"/>
    <mergeCell ref="J18:K18"/>
    <mergeCell ref="L18:O18"/>
    <mergeCell ref="P18:Q18"/>
    <mergeCell ref="B20:C20"/>
    <mergeCell ref="D20:G20"/>
    <mergeCell ref="J20:K20"/>
    <mergeCell ref="L20:O20"/>
    <mergeCell ref="P20:Q20"/>
    <mergeCell ref="B21:C21"/>
    <mergeCell ref="D21:G21"/>
    <mergeCell ref="J21:K21"/>
    <mergeCell ref="L21:O21"/>
    <mergeCell ref="P21:Q21"/>
  </mergeCells>
  <phoneticPr fontId="2" type="noConversion"/>
  <hyperlinks>
    <hyperlink ref="M8" r:id="rId1" xr:uid="{95FEDAD1-BB22-4976-A582-B20689124B6E}"/>
  </hyperlinks>
  <pageMargins left="0.25" right="0.25" top="0.75" bottom="0.75" header="0.3" footer="0.3"/>
  <pageSetup paperSize="9" scale="47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B46C-49B9-4912-8E4E-14228606F2BB}">
  <sheetPr>
    <tabColor rgb="FFFF0000"/>
    <pageSetUpPr fitToPage="1"/>
  </sheetPr>
  <dimension ref="A1:P9"/>
  <sheetViews>
    <sheetView zoomScaleNormal="100" workbookViewId="0">
      <selection activeCell="L12" sqref="L12"/>
    </sheetView>
  </sheetViews>
  <sheetFormatPr defaultRowHeight="16.899999999999999"/>
  <cols>
    <col min="1" max="1" width="32.375" bestFit="1" customWidth="1"/>
    <col min="2" max="2" width="6.6875" customWidth="1"/>
    <col min="3" max="3" width="20.1875" customWidth="1"/>
    <col min="4" max="4" width="6.375" bestFit="1" customWidth="1"/>
    <col min="5" max="5" width="8.1875" customWidth="1"/>
    <col min="6" max="6" width="6.875" bestFit="1" customWidth="1"/>
    <col min="7" max="8" width="14.6875" customWidth="1"/>
    <col min="9" max="9" width="14.1875" customWidth="1"/>
    <col min="10" max="10" width="7.875" bestFit="1" customWidth="1"/>
    <col min="11" max="11" width="18.375" bestFit="1" customWidth="1"/>
    <col min="12" max="12" width="11.625" bestFit="1" customWidth="1"/>
    <col min="13" max="13" width="11.375" customWidth="1"/>
    <col min="14" max="15" width="6" bestFit="1" customWidth="1"/>
    <col min="16" max="16" width="35.625" customWidth="1"/>
    <col min="22" max="22" width="24.1875" customWidth="1"/>
  </cols>
  <sheetData>
    <row r="1" spans="1:16" ht="32.25" customHeight="1">
      <c r="A1" s="283" t="s">
        <v>121</v>
      </c>
      <c r="B1" s="283"/>
      <c r="C1" s="284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</row>
    <row r="2" spans="1:16" ht="60.4">
      <c r="A2" s="63" t="s">
        <v>41</v>
      </c>
      <c r="B2" s="64" t="s">
        <v>42</v>
      </c>
      <c r="C2" s="63" t="s">
        <v>43</v>
      </c>
      <c r="D2" s="63" t="s">
        <v>44</v>
      </c>
      <c r="E2" s="64" t="s">
        <v>45</v>
      </c>
      <c r="F2" s="64" t="s">
        <v>46</v>
      </c>
      <c r="G2" s="64" t="s">
        <v>47</v>
      </c>
      <c r="H2" s="64" t="s">
        <v>48</v>
      </c>
      <c r="I2" s="64" t="s">
        <v>49</v>
      </c>
      <c r="J2" s="64" t="s">
        <v>50</v>
      </c>
      <c r="K2" s="63" t="s">
        <v>51</v>
      </c>
      <c r="L2" s="64" t="s">
        <v>52</v>
      </c>
      <c r="M2" s="65" t="s">
        <v>53</v>
      </c>
      <c r="N2" s="63" t="s">
        <v>54</v>
      </c>
      <c r="O2" s="63" t="s">
        <v>55</v>
      </c>
      <c r="P2" s="63" t="s">
        <v>56</v>
      </c>
    </row>
    <row r="3" spans="1:16" ht="57" customHeight="1">
      <c r="A3" s="66" t="s">
        <v>104</v>
      </c>
      <c r="B3" s="66" t="s">
        <v>61</v>
      </c>
      <c r="C3" s="82" t="s">
        <v>105</v>
      </c>
      <c r="D3" s="67" t="s">
        <v>57</v>
      </c>
      <c r="E3" s="66">
        <v>16</v>
      </c>
      <c r="F3" s="66">
        <v>128</v>
      </c>
      <c r="G3" s="66">
        <v>50</v>
      </c>
      <c r="H3" s="66">
        <v>450</v>
      </c>
      <c r="I3" s="68" t="s">
        <v>58</v>
      </c>
      <c r="J3" s="66">
        <v>2</v>
      </c>
      <c r="K3" s="68" t="s">
        <v>58</v>
      </c>
      <c r="L3" s="68" t="s">
        <v>58</v>
      </c>
      <c r="M3" s="68" t="s">
        <v>58</v>
      </c>
      <c r="N3" s="68" t="s">
        <v>58</v>
      </c>
      <c r="O3" s="68" t="s">
        <v>58</v>
      </c>
      <c r="P3" s="69" t="s">
        <v>124</v>
      </c>
    </row>
    <row r="4" spans="1:16" ht="41.25">
      <c r="A4" s="70" t="s">
        <v>99</v>
      </c>
      <c r="B4" s="66" t="s">
        <v>51</v>
      </c>
      <c r="C4" s="82" t="s">
        <v>101</v>
      </c>
      <c r="D4" s="67" t="s">
        <v>57</v>
      </c>
      <c r="E4" s="66">
        <v>16</v>
      </c>
      <c r="F4" s="66">
        <v>128</v>
      </c>
      <c r="G4" s="66">
        <v>50</v>
      </c>
      <c r="H4" s="66">
        <v>450</v>
      </c>
      <c r="I4" s="68" t="s">
        <v>58</v>
      </c>
      <c r="J4" s="66">
        <v>2</v>
      </c>
      <c r="K4" s="66" t="s">
        <v>59</v>
      </c>
      <c r="L4" s="66">
        <v>24</v>
      </c>
      <c r="M4" s="66">
        <v>2</v>
      </c>
      <c r="N4" s="68" t="s">
        <v>58</v>
      </c>
      <c r="O4" s="68" t="s">
        <v>58</v>
      </c>
      <c r="P4" s="69" t="s">
        <v>100</v>
      </c>
    </row>
    <row r="5" spans="1:16" ht="30.75" customHeight="1">
      <c r="A5" s="70" t="s">
        <v>143</v>
      </c>
      <c r="B5" s="66" t="s">
        <v>51</v>
      </c>
      <c r="C5" s="82" t="s">
        <v>102</v>
      </c>
      <c r="D5" s="67" t="s">
        <v>57</v>
      </c>
      <c r="E5" s="66">
        <v>16</v>
      </c>
      <c r="F5" s="66">
        <v>128</v>
      </c>
      <c r="G5" s="66">
        <v>50</v>
      </c>
      <c r="H5" s="66">
        <v>450</v>
      </c>
      <c r="I5" s="68" t="s">
        <v>58</v>
      </c>
      <c r="J5" s="66">
        <v>2</v>
      </c>
      <c r="K5" s="66" t="s">
        <v>64</v>
      </c>
      <c r="L5" s="66">
        <v>96</v>
      </c>
      <c r="M5" s="66">
        <v>1</v>
      </c>
      <c r="N5" s="68" t="s">
        <v>58</v>
      </c>
      <c r="O5" s="68" t="s">
        <v>58</v>
      </c>
      <c r="P5" s="69" t="s">
        <v>60</v>
      </c>
    </row>
    <row r="6" spans="1:16" ht="39.4" customHeight="1">
      <c r="A6" s="70" t="s">
        <v>110</v>
      </c>
      <c r="B6" s="66" t="s">
        <v>51</v>
      </c>
      <c r="C6" s="293" t="s">
        <v>145</v>
      </c>
      <c r="D6" s="67" t="s">
        <v>57</v>
      </c>
      <c r="E6" s="66">
        <v>64</v>
      </c>
      <c r="F6" s="66">
        <v>512</v>
      </c>
      <c r="G6" s="66">
        <v>50</v>
      </c>
      <c r="H6" s="66">
        <v>450</v>
      </c>
      <c r="I6" s="68" t="s">
        <v>58</v>
      </c>
      <c r="J6" s="66">
        <v>2</v>
      </c>
      <c r="K6" s="66" t="s">
        <v>64</v>
      </c>
      <c r="L6" s="66">
        <v>96</v>
      </c>
      <c r="M6" s="66">
        <v>8</v>
      </c>
      <c r="N6" s="68" t="s">
        <v>58</v>
      </c>
      <c r="O6" s="68" t="s">
        <v>58</v>
      </c>
      <c r="P6" s="69" t="s">
        <v>138</v>
      </c>
    </row>
    <row r="7" spans="1:16" ht="57.4">
      <c r="A7" s="70" t="s">
        <v>93</v>
      </c>
      <c r="B7" s="66" t="s">
        <v>61</v>
      </c>
      <c r="C7" s="83" t="s">
        <v>94</v>
      </c>
      <c r="D7" s="67" t="s">
        <v>57</v>
      </c>
      <c r="E7" s="66">
        <v>16</v>
      </c>
      <c r="F7" s="66">
        <v>64</v>
      </c>
      <c r="G7" s="66">
        <v>50</v>
      </c>
      <c r="H7" s="66">
        <v>950</v>
      </c>
      <c r="I7" s="68" t="s">
        <v>58</v>
      </c>
      <c r="J7" s="66">
        <v>2</v>
      </c>
      <c r="K7" s="68" t="s">
        <v>58</v>
      </c>
      <c r="L7" s="68" t="s">
        <v>58</v>
      </c>
      <c r="M7" s="68" t="s">
        <v>58</v>
      </c>
      <c r="N7" s="68" t="s">
        <v>58</v>
      </c>
      <c r="O7" s="68" t="s">
        <v>58</v>
      </c>
      <c r="P7" s="69" t="s">
        <v>97</v>
      </c>
    </row>
    <row r="8" spans="1:16" ht="26.25">
      <c r="A8" s="70" t="s">
        <v>62</v>
      </c>
      <c r="B8" s="66" t="s">
        <v>51</v>
      </c>
      <c r="C8" s="83" t="s">
        <v>103</v>
      </c>
      <c r="D8" s="67" t="s">
        <v>57</v>
      </c>
      <c r="E8" s="66">
        <v>24</v>
      </c>
      <c r="F8" s="66">
        <v>128</v>
      </c>
      <c r="G8" s="66">
        <v>50</v>
      </c>
      <c r="H8" s="66">
        <v>950</v>
      </c>
      <c r="I8" s="68" t="s">
        <v>58</v>
      </c>
      <c r="J8" s="66">
        <v>2</v>
      </c>
      <c r="K8" s="66" t="s">
        <v>68</v>
      </c>
      <c r="L8" s="66">
        <v>48</v>
      </c>
      <c r="M8" s="66">
        <v>1</v>
      </c>
      <c r="N8" s="68" t="s">
        <v>58</v>
      </c>
      <c r="O8" s="68" t="s">
        <v>58</v>
      </c>
      <c r="P8" s="71" t="s">
        <v>66</v>
      </c>
    </row>
    <row r="9" spans="1:16" ht="150" customHeight="1">
      <c r="A9" s="72" t="s">
        <v>122</v>
      </c>
      <c r="B9" s="66" t="s">
        <v>61</v>
      </c>
      <c r="C9" s="82" t="s">
        <v>95</v>
      </c>
      <c r="D9" s="67" t="s">
        <v>57</v>
      </c>
      <c r="E9" s="66">
        <v>24</v>
      </c>
      <c r="F9" s="66">
        <v>128</v>
      </c>
      <c r="G9" s="66">
        <v>50</v>
      </c>
      <c r="H9" s="73">
        <v>950</v>
      </c>
      <c r="I9" s="76" t="s">
        <v>65</v>
      </c>
      <c r="J9" s="66">
        <v>2</v>
      </c>
      <c r="K9" s="68" t="s">
        <v>58</v>
      </c>
      <c r="L9" s="68" t="s">
        <v>58</v>
      </c>
      <c r="M9" s="68" t="s">
        <v>58</v>
      </c>
      <c r="N9" s="74" t="s">
        <v>63</v>
      </c>
      <c r="O9" s="74" t="s">
        <v>63</v>
      </c>
      <c r="P9" s="75" t="s">
        <v>123</v>
      </c>
    </row>
  </sheetData>
  <mergeCells count="1">
    <mergeCell ref="A1:P1"/>
  </mergeCells>
  <phoneticPr fontId="2" type="noConversion"/>
  <pageMargins left="0.7" right="0.7" top="0.75" bottom="0.75" header="0.3" footer="0.3"/>
  <pageSetup paperSize="9" scale="6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C7A3-4545-47DD-89E8-1BD1DC75A445}">
  <sheetPr>
    <tabColor rgb="FFFF0000"/>
    <pageSetUpPr fitToPage="1"/>
  </sheetPr>
  <dimension ref="A1:P8"/>
  <sheetViews>
    <sheetView zoomScale="85" zoomScaleNormal="85" workbookViewId="0">
      <selection activeCell="G16" sqref="G16"/>
    </sheetView>
  </sheetViews>
  <sheetFormatPr defaultRowHeight="16.899999999999999"/>
  <cols>
    <col min="1" max="1" width="32.375" bestFit="1" customWidth="1"/>
    <col min="2" max="2" width="6.6875" bestFit="1" customWidth="1"/>
    <col min="3" max="3" width="20.375" customWidth="1"/>
    <col min="4" max="4" width="6.375" bestFit="1" customWidth="1"/>
    <col min="5" max="5" width="8.1875" customWidth="1"/>
    <col min="6" max="6" width="6.875" bestFit="1" customWidth="1"/>
    <col min="7" max="8" width="14.6875" customWidth="1"/>
    <col min="9" max="9" width="14.1875" customWidth="1"/>
    <col min="10" max="10" width="7.875" bestFit="1" customWidth="1"/>
    <col min="11" max="11" width="18.375" bestFit="1" customWidth="1"/>
    <col min="12" max="12" width="11.625" bestFit="1" customWidth="1"/>
    <col min="13" max="13" width="11.375" customWidth="1"/>
    <col min="14" max="15" width="6" bestFit="1" customWidth="1"/>
    <col min="16" max="16" width="35.625" customWidth="1"/>
    <col min="22" max="22" width="24.1875" customWidth="1"/>
  </cols>
  <sheetData>
    <row r="1" spans="1:16" ht="32.25" customHeight="1">
      <c r="A1" s="283" t="s">
        <v>142</v>
      </c>
      <c r="B1" s="283"/>
      <c r="C1" s="284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</row>
    <row r="2" spans="1:16" ht="60.4">
      <c r="A2" s="63" t="s">
        <v>41</v>
      </c>
      <c r="B2" s="64" t="s">
        <v>42</v>
      </c>
      <c r="C2" s="63" t="s">
        <v>43</v>
      </c>
      <c r="D2" s="63" t="s">
        <v>44</v>
      </c>
      <c r="E2" s="64" t="s">
        <v>45</v>
      </c>
      <c r="F2" s="64" t="s">
        <v>46</v>
      </c>
      <c r="G2" s="64" t="s">
        <v>47</v>
      </c>
      <c r="H2" s="64" t="s">
        <v>48</v>
      </c>
      <c r="I2" s="64" t="s">
        <v>49</v>
      </c>
      <c r="J2" s="64" t="s">
        <v>50</v>
      </c>
      <c r="K2" s="63" t="s">
        <v>51</v>
      </c>
      <c r="L2" s="64" t="s">
        <v>52</v>
      </c>
      <c r="M2" s="65" t="s">
        <v>53</v>
      </c>
      <c r="N2" s="63" t="s">
        <v>54</v>
      </c>
      <c r="O2" s="63" t="s">
        <v>55</v>
      </c>
      <c r="P2" s="63" t="s">
        <v>56</v>
      </c>
    </row>
    <row r="3" spans="1:16" ht="61.9">
      <c r="A3" s="70" t="s">
        <v>106</v>
      </c>
      <c r="B3" s="66" t="s">
        <v>51</v>
      </c>
      <c r="C3" s="82" t="s">
        <v>107</v>
      </c>
      <c r="D3" s="67" t="s">
        <v>57</v>
      </c>
      <c r="E3" s="66">
        <v>8</v>
      </c>
      <c r="F3" s="66">
        <v>32</v>
      </c>
      <c r="G3" s="66">
        <v>50</v>
      </c>
      <c r="H3" s="66">
        <v>450</v>
      </c>
      <c r="I3" s="68" t="s">
        <v>58</v>
      </c>
      <c r="J3" s="66">
        <v>1</v>
      </c>
      <c r="K3" s="66" t="s">
        <v>59</v>
      </c>
      <c r="L3" s="66">
        <v>24</v>
      </c>
      <c r="M3" s="66">
        <v>1</v>
      </c>
      <c r="N3" s="68" t="s">
        <v>58</v>
      </c>
      <c r="O3" s="68" t="s">
        <v>58</v>
      </c>
      <c r="P3" s="69" t="s">
        <v>100</v>
      </c>
    </row>
    <row r="4" spans="1:16" ht="90" customHeight="1">
      <c r="A4" s="70" t="s">
        <v>139</v>
      </c>
      <c r="B4" s="66" t="s">
        <v>61</v>
      </c>
      <c r="C4" s="82" t="s">
        <v>140</v>
      </c>
      <c r="D4" s="67" t="s">
        <v>57</v>
      </c>
      <c r="E4" s="66">
        <v>8</v>
      </c>
      <c r="F4" s="66">
        <v>32</v>
      </c>
      <c r="G4" s="66">
        <v>50</v>
      </c>
      <c r="H4" s="66">
        <v>450</v>
      </c>
      <c r="I4" s="68" t="s">
        <v>58</v>
      </c>
      <c r="J4" s="66">
        <v>1</v>
      </c>
      <c r="K4" s="68" t="s">
        <v>58</v>
      </c>
      <c r="L4" s="68" t="s">
        <v>58</v>
      </c>
      <c r="M4" s="68" t="s">
        <v>58</v>
      </c>
      <c r="N4" s="68" t="s">
        <v>58</v>
      </c>
      <c r="O4" s="68" t="s">
        <v>58</v>
      </c>
      <c r="P4" s="69" t="s">
        <v>146</v>
      </c>
    </row>
    <row r="5" spans="1:16" ht="43.15" customHeight="1">
      <c r="A5" s="84" t="s">
        <v>110</v>
      </c>
      <c r="B5" s="85" t="s">
        <v>51</v>
      </c>
      <c r="C5" s="85" t="s">
        <v>111</v>
      </c>
      <c r="D5" s="86" t="s">
        <v>57</v>
      </c>
      <c r="E5" s="85">
        <v>16</v>
      </c>
      <c r="F5" s="85">
        <v>128</v>
      </c>
      <c r="G5" s="85">
        <v>50</v>
      </c>
      <c r="H5" s="85">
        <v>450</v>
      </c>
      <c r="I5" s="87" t="s">
        <v>58</v>
      </c>
      <c r="J5" s="85">
        <v>1</v>
      </c>
      <c r="K5" s="85" t="s">
        <v>68</v>
      </c>
      <c r="L5" s="85">
        <v>48</v>
      </c>
      <c r="M5" s="85">
        <v>1</v>
      </c>
      <c r="N5" s="87" t="s">
        <v>58</v>
      </c>
      <c r="O5" s="87" t="s">
        <v>58</v>
      </c>
      <c r="P5" s="88" t="s">
        <v>141</v>
      </c>
    </row>
    <row r="6" spans="1:16" ht="26.25">
      <c r="A6" s="70" t="s">
        <v>93</v>
      </c>
      <c r="B6" s="66" t="s">
        <v>61</v>
      </c>
      <c r="C6" s="83" t="s">
        <v>94</v>
      </c>
      <c r="D6" s="67" t="s">
        <v>57</v>
      </c>
      <c r="E6" s="66">
        <v>8</v>
      </c>
      <c r="F6" s="66">
        <v>32</v>
      </c>
      <c r="G6" s="66">
        <v>50</v>
      </c>
      <c r="H6" s="66">
        <v>450</v>
      </c>
      <c r="I6" s="68" t="s">
        <v>58</v>
      </c>
      <c r="J6" s="66">
        <v>1</v>
      </c>
      <c r="K6" s="68" t="s">
        <v>58</v>
      </c>
      <c r="L6" s="68" t="s">
        <v>58</v>
      </c>
      <c r="M6" s="68" t="s">
        <v>58</v>
      </c>
      <c r="N6" s="68" t="s">
        <v>58</v>
      </c>
      <c r="O6" s="68" t="s">
        <v>58</v>
      </c>
      <c r="P6" s="69" t="s">
        <v>93</v>
      </c>
    </row>
    <row r="7" spans="1:16" ht="26.25">
      <c r="A7" s="70" t="s">
        <v>62</v>
      </c>
      <c r="B7" s="66" t="s">
        <v>51</v>
      </c>
      <c r="C7" s="83" t="s">
        <v>103</v>
      </c>
      <c r="D7" s="67" t="s">
        <v>57</v>
      </c>
      <c r="E7" s="66">
        <v>8</v>
      </c>
      <c r="F7" s="66">
        <v>64</v>
      </c>
      <c r="G7" s="66">
        <v>50</v>
      </c>
      <c r="H7" s="66">
        <v>450</v>
      </c>
      <c r="I7" s="68" t="s">
        <v>58</v>
      </c>
      <c r="J7" s="66">
        <v>1</v>
      </c>
      <c r="K7" s="66" t="s">
        <v>68</v>
      </c>
      <c r="L7" s="66">
        <v>48</v>
      </c>
      <c r="M7" s="66">
        <v>1</v>
      </c>
      <c r="N7" s="68" t="s">
        <v>58</v>
      </c>
      <c r="O7" s="68" t="s">
        <v>58</v>
      </c>
      <c r="P7" s="71" t="s">
        <v>66</v>
      </c>
    </row>
    <row r="8" spans="1:16" ht="150" customHeight="1">
      <c r="A8" s="72" t="s">
        <v>96</v>
      </c>
      <c r="B8" s="66" t="s">
        <v>61</v>
      </c>
      <c r="C8" s="82" t="s">
        <v>95</v>
      </c>
      <c r="D8" s="67" t="s">
        <v>57</v>
      </c>
      <c r="E8" s="66">
        <v>8</v>
      </c>
      <c r="F8" s="66">
        <v>32</v>
      </c>
      <c r="G8" s="66">
        <v>50</v>
      </c>
      <c r="H8" s="73">
        <v>450</v>
      </c>
      <c r="I8" s="76" t="s">
        <v>144</v>
      </c>
      <c r="J8" s="66">
        <v>1</v>
      </c>
      <c r="K8" s="68" t="s">
        <v>58</v>
      </c>
      <c r="L8" s="68" t="s">
        <v>58</v>
      </c>
      <c r="M8" s="68" t="s">
        <v>58</v>
      </c>
      <c r="N8" s="74" t="s">
        <v>63</v>
      </c>
      <c r="O8" s="74" t="s">
        <v>63</v>
      </c>
      <c r="P8" s="75" t="s">
        <v>67</v>
      </c>
    </row>
  </sheetData>
  <mergeCells count="1">
    <mergeCell ref="A1:P1"/>
  </mergeCells>
  <phoneticPr fontId="2" type="noConversion"/>
  <pageMargins left="0.7" right="0.7" top="0.75" bottom="0.75" header="0.3" footer="0.3"/>
  <pageSetup paperSize="9" scale="6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1843119884D1A47A5CC888DBFF6FD66" ma:contentTypeVersion="16" ma:contentTypeDescription="새 문서를 만듭니다." ma:contentTypeScope="" ma:versionID="51bf054dbb10118e2cf014bfdf878e27">
  <xsd:schema xmlns:xsd="http://www.w3.org/2001/XMLSchema" xmlns:xs="http://www.w3.org/2001/XMLSchema" xmlns:p="http://schemas.microsoft.com/office/2006/metadata/properties" xmlns:ns3="1919e3d9-a0f5-42d9-9864-fb3b8af76548" xmlns:ns4="c79a1e39-e16f-43f1-b962-163fb8a0fb38" targetNamespace="http://schemas.microsoft.com/office/2006/metadata/properties" ma:root="true" ma:fieldsID="a6afec9fbe1209265434b3e4c191e548" ns3:_="" ns4:_="">
    <xsd:import namespace="1919e3d9-a0f5-42d9-9864-fb3b8af76548"/>
    <xsd:import namespace="c79a1e39-e16f-43f1-b962-163fb8a0fb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4:SharedWithDetails" minOccurs="0"/>
                <xsd:element ref="ns4:SharingHintHash" minOccurs="0"/>
                <xsd:element ref="ns4:SharedWithUser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9e3d9-a0f5-42d9-9864-fb3b8af76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a1e39-e16f-43f1-b962-163fb8a0fb38" elementFormDefault="qualified">
    <xsd:import namespace="http://schemas.microsoft.com/office/2006/documentManagement/types"/>
    <xsd:import namespace="http://schemas.microsoft.com/office/infopath/2007/PartnerControls"/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힌트 해시 공유" ma:hidden="true" ma:internalName="SharingHintHash" ma:readOnly="true">
      <xsd:simpleType>
        <xsd:restriction base="dms:Text"/>
      </xsd:simpleType>
    </xsd:element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19e3d9-a0f5-42d9-9864-fb3b8af76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1CFCDC-95A2-4B4F-9842-19BC7EBE0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9e3d9-a0f5-42d9-9864-fb3b8af76548"/>
    <ds:schemaRef ds:uri="c79a1e39-e16f-43f1-b962-163fb8a0f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DE1D4C-D8DD-4C73-9D21-2FFFD50CB699}">
  <ds:schemaRefs>
    <ds:schemaRef ds:uri="http://schemas.microsoft.com/office/infopath/2007/PartnerControls"/>
    <ds:schemaRef ds:uri="http://purl.org/dc/terms/"/>
    <ds:schemaRef ds:uri="c79a1e39-e16f-43f1-b962-163fb8a0fb38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1919e3d9-a0f5-42d9-9864-fb3b8af7654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A95D46B-9777-47B2-9D1E-D251A4B344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요약</vt:lpstr>
      <vt:lpstr>라이선스</vt:lpstr>
      <vt:lpstr>구축비</vt:lpstr>
      <vt:lpstr>운영_HW스펙(이중화)_LLM_GPU</vt:lpstr>
      <vt:lpstr>개발_HW스펙_LLM_GPU</vt:lpstr>
      <vt:lpstr>개발_HW스펙_LLM_GPU!Print_Area</vt:lpstr>
      <vt:lpstr>구축비!Print_Area</vt:lpstr>
      <vt:lpstr>라이선스!Print_Area</vt:lpstr>
      <vt:lpstr>요약!Print_Area</vt:lpstr>
      <vt:lpstr>'운영_HW스펙(이중화)_LLM_GPU'!Print_Area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ECS 텔레콤</dc:title>
  <dc:creator>이상우</dc:creator>
  <cp:lastModifiedBy>이상우</cp:lastModifiedBy>
  <cp:lastPrinted>2026-06-25T05:20:14Z</cp:lastPrinted>
  <dcterms:created xsi:type="dcterms:W3CDTF">2024-09-05T00:54:13Z</dcterms:created>
  <dcterms:modified xsi:type="dcterms:W3CDTF">2026-09-08T05:14:39Z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0x010100A1843119884D1A47A5CC888DBFF6FD66</vt:lpwstr>
  </property>
</Properties>
</file>