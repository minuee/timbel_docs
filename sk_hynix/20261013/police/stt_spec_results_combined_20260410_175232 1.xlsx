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dward lee\Downloads\"/>
    </mc:Choice>
  </mc:AlternateContent>
  <xr:revisionPtr revIDLastSave="0" documentId="13_ncr:1_{79E71807-CDD8-443D-9113-3E64FF81AE06}" xr6:coauthVersionLast="47" xr6:coauthVersionMax="47" xr10:uidLastSave="{00000000-0000-0000-0000-000000000000}"/>
  <bookViews>
    <workbookView xWindow="11950" yWindow="1160" windowWidth="26260" windowHeight="19370" activeTab="1" xr2:uid="{00000000-000D-0000-FFFF-FFFF00000000}"/>
  </bookViews>
  <sheets>
    <sheet name="개요" sheetId="1" r:id="rId1"/>
    <sheet name="비교 요약" sheetId="2" r:id="rId2"/>
    <sheet name="상세 데이터" sheetId="3" r:id="rId3"/>
    <sheet name="online 채널 비교" sheetId="4" r:id="rId4"/>
    <sheet name="원격 분리 배치 (T4 4vC)" sheetId="5" r:id="rId5"/>
  </sheets>
  <definedNames>
    <definedName name="_xlnm._FilterDatabase" localSheetId="2" hidden="1">'상세 데이터'!$A$1:$AE$93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2" l="1"/>
</calcChain>
</file>

<file path=xl/sharedStrings.xml><?xml version="1.0" encoding="utf-8"?>
<sst xmlns="http://schemas.openxmlformats.org/spreadsheetml/2006/main" count="1977" uniqueCount="568">
  <si>
    <t>1. 문서 개요</t>
  </si>
  <si>
    <t>본 문서는 HAIV 한국어 음성인식(STT) 시스템의 성능을 다양한 GPU 서버에서 측정한 벤치마크 결과입니다.</t>
  </si>
  <si>
    <t>고객사에 서버를 제안할 때 "이 GPU에서 동시에 몇 통화까지 처리 가능한가?"에 대한 근거 자료로 활용됩니다.</t>
  </si>
  <si>
    <t>작성일: 2026-03-31</t>
  </si>
  <si>
    <t>테스트 인스턴스: 6종 (T4, A10G, L4, H100 PCIe, RTX 6000 Ada, RTX 4090)</t>
  </si>
  <si>
    <t>2. 핵심 지표: RTF (Real-Time Factor)</t>
  </si>
  <si>
    <t>RTF는 "음성 1초를 처리하는 데 걸리는 시간"입니다.</t>
  </si>
  <si>
    <t xml:space="preserve">  - RTF 0.02 = 1초 음성을 0.02초에 처리 (매우 빠름, 배치 처리에서 나옴)</t>
  </si>
  <si>
    <t xml:space="preserve">  - RTF 1.0 = 1초 음성을 1초에 처리 (실시간 속도, 전화 통화와 같은 속도)</t>
  </si>
  <si>
    <t xml:space="preserve">  - RTF 1.05 이하 = 실시간 서비스 가능 기준 (약간의 여유 포함)</t>
  </si>
  <si>
    <t>[batch RTF]  파일을 한번에 올려서 처리하는 속도. 녹음 파일 후처리 용도.</t>
  </si>
  <si>
    <t>[online RTF]  실시간 전화 통화를 처리하는 속도. "210ch (1.049)"는 210통화 동시 처리 시 RTF 1.049라는 뜻.</t>
  </si>
  <si>
    <t xml:space="preserve">  → online에서 중요한 것은 RTF가 1.05를 넘지 않는 최대 동시 통화 수입니다.</t>
  </si>
  <si>
    <t>3. 디코더(엔진) 종류</t>
  </si>
  <si>
    <t>[m-decoder] Whisper 기반 (16kHz, 회의록용)</t>
  </si>
  <si>
    <t xml:space="preserve">  - OpenAI Whisper large-v3 모델 사용. 높은 인식 정확도, 느린 처리 속도.</t>
  </si>
  <si>
    <t xml:space="preserve">  - 회의록, 강의 녹취 등 고품질 후처리(batch)에 적합.</t>
  </si>
  <si>
    <t xml:space="preserve">  - 실시간(online)은 3~7통화 수준으로 대규모 서비스에는 부적합.</t>
  </si>
  <si>
    <t>[c-decoder] ESPnet2 기반 (8kHz, 콜센터용, batch+online 겸용)</t>
  </si>
  <si>
    <t xml:space="preserve">  - 자체 개발 ESPnet2 한국어 모델. 빠른 처리 속도.</t>
  </si>
  <si>
    <t xml:space="preserve">  - batch: RTF 0.02 수준 (Whisper 대비 10배 빠름).</t>
  </si>
  <si>
    <t xml:space="preserve">  - online: 200~500통화 동시 처리 가능. 콜센터 실시간 서비스에 적합.</t>
  </si>
  <si>
    <t xml:space="preserve">  - 8kHz 전화 음질에 최적화.</t>
  </si>
  <si>
    <t>[cs-decoder] ESPnet2 streaming 기반 (8kHz, 콜센터 실시간 전용)</t>
  </si>
  <si>
    <t xml:space="preserve">  - c-decoder의 streaming 버전. gRPC 프로토콜 사용.</t>
  </si>
  <si>
    <t xml:space="preserve">  - GPU 모드: CHUNK_ACCUMULATE를 높이면 배치 효율 향상 (C=4에서 +60~80%).</t>
  </si>
  <si>
    <t xml:space="preserve">  - CPU 모드: GPU 없이도 운영 가능. 소규모 콜센터에 적합.</t>
  </si>
  <si>
    <t xml:space="preserve">  - batch 모드 불가 (STREAMING_MODE=true는 online에서만 gRPC 사용).</t>
  </si>
  <si>
    <t>4. 테스트 데이터</t>
  </si>
  <si>
    <t>[normal_wave] 통화 전체가 하나의 파일. 실발화가 파일 전체에 분포 → 부하 높음.</t>
  </si>
  <si>
    <t>[rx_tx] 송/수신 채널 분리. 실발화가 파일의 절반 → 부하 낮음.</t>
  </si>
  <si>
    <t xml:space="preserve">  → 같은 ch수에서 normal_wave가 rx_tx보다 RTF가 높게 나옴.</t>
  </si>
  <si>
    <t>5. 테스트 환경 비교</t>
  </si>
  <si>
    <t xml:space="preserve">  GPU             | VRAM   | 서버 유형     | vCores | RAM</t>
  </si>
  <si>
    <t xml:space="preserve">  ─────────────────────────────────────────────────────────</t>
  </si>
  <si>
    <t xml:space="preserve">  Tesla T4        | 16 GB  | AWS g4dn.4xl  |   16   |  64 GB</t>
  </si>
  <si>
    <t xml:space="preserve">  NVIDIA A10G     | 24 GB  | AWS g5.8xl    |   32   | 128 GB</t>
  </si>
  <si>
    <t xml:space="preserve">  NVIDIA L4       | 24 GB  | AWS g6.8xl    |   32   | 124 GB</t>
  </si>
  <si>
    <t xml:space="preserve">  H100 PCIe       | 80 GB  | Lambda Cloud  |   26   | 226 GB</t>
  </si>
  <si>
    <t xml:space="preserve">  RTX 6000 Ada    | 48 GB  | RunPod        |   32   | 257 GB</t>
  </si>
  <si>
    <t xml:space="preserve">  RTX 4090        | 24 GB  | 베어메탈      |   32   |  32 GB</t>
  </si>
  <si>
    <t>6. 특이사항</t>
  </si>
  <si>
    <t>[H100 PCIe (Lambda Cloud)]</t>
  </si>
  <si>
    <t xml:space="preserve">  - 클라이언트를 서버 내부(127.0.0.1)에 두고 호출했음에도 컨테이너 간 지연이 비정상적으로 큼.</t>
  </si>
  <si>
    <t xml:space="preserve">  - c-decoder online이 normal 50ch / rxtx 57ch로, T4(210/240)보다도 낮음.</t>
  </si>
  <si>
    <t xml:space="preserve">  - cs-decoder GPU C=1도 normal 115ch / rxtx 80ch로 기대 대비 저조.</t>
  </si>
  <si>
    <t xml:space="preserve">  - GPU 연산 성능 자체는 정상 (batch RTF, cs-decoder CHUNK=4 등은 양호).</t>
  </si>
  <si>
    <t xml:space="preserve">  - 원인 미확인: Docker 네트워크 오버헤드, Lambda Cloud 가상화 레이어 등 추정.</t>
  </si>
  <si>
    <t xml:space="preserve">  - → H100 결과는 네트워크 지연 영향이 포함되어 있으므로, online ch수 비교 시 주의 필요.</t>
  </si>
  <si>
    <t>[RTX 4090 c-decoder online 500ch]</t>
  </si>
  <si>
    <t xml:space="preserve">  - GPU 사용률 15%에서 500ch 도달. 실제 GPU 한계가 아닌 워커/마스터 세션 한계.</t>
  </si>
  <si>
    <t xml:space="preserve">  - NUMWORKERS=800, 530ch부터 워커 할당 실패 발생.</t>
  </si>
  <si>
    <t xml:space="preserve">  - → 실제 GPU 능력은 더 높을 수 있으나, 현재 아키텍처 상한이 ~500ch.</t>
  </si>
  <si>
    <t>테스트 항목</t>
  </si>
  <si>
    <t>T4
(g4dn.4xl)
16vC / 64GB</t>
  </si>
  <si>
    <t>A10G
(g5.8xl)
32vC / 128GB</t>
  </si>
  <si>
    <t>L4
(g6.8xl)
32vC / 124GB</t>
  </si>
  <si>
    <t>H100 PCIe
(Lambda)
26vC / 226GB</t>
  </si>
  <si>
    <t>RTX 6000
Ada
32vC / 257GB</t>
  </si>
  <si>
    <t>RTX 4090
(베어메탈)
32vC / 32GB</t>
  </si>
  <si>
    <t>L40S
(g6e.8xl)
32vC / 254GB</t>
  </si>
  <si>
    <t>T4 4vC
(원격 디코더)
분리 배치</t>
  </si>
  <si>
    <t>m-decoder batch</t>
  </si>
  <si>
    <t>0.207</t>
  </si>
  <si>
    <t>0.154</t>
  </si>
  <si>
    <t>0.167</t>
  </si>
  <si>
    <t>0.123</t>
  </si>
  <si>
    <t>0.088</t>
  </si>
  <si>
    <t>0.080</t>
  </si>
  <si>
    <t>0.097</t>
  </si>
  <si>
    <t>0.104</t>
  </si>
  <si>
    <t>-</t>
  </si>
  <si>
    <t>m-decoder batch+diar</t>
  </si>
  <si>
    <t>0.221</t>
  </si>
  <si>
    <t>0.172</t>
  </si>
  <si>
    <t>0.177</t>
  </si>
  <si>
    <t>0.082</t>
  </si>
  <si>
    <t>0.124</t>
  </si>
  <si>
    <t>0.111</t>
  </si>
  <si>
    <t>m-decoder online</t>
  </si>
  <si>
    <t>3ch (1.048)</t>
  </si>
  <si>
    <t>5ch (1.015)</t>
  </si>
  <si>
    <t>5ch (1.047)</t>
  </si>
  <si>
    <t>5ch (1.034)</t>
  </si>
  <si>
    <t>7ch (1.009)</t>
  </si>
  <si>
    <t>6ch (1.020)</t>
  </si>
  <si>
    <t>6ch (1.016)</t>
  </si>
  <si>
    <t>9ch (1.012)</t>
  </si>
  <si>
    <t>c-decoder batch</t>
  </si>
  <si>
    <t>0.020</t>
  </si>
  <si>
    <t>0.022</t>
  </si>
  <si>
    <t>0.019</t>
  </si>
  <si>
    <t>0.051</t>
  </si>
  <si>
    <t>0.024</t>
  </si>
  <si>
    <t>0.016</t>
  </si>
  <si>
    <t>0.018</t>
  </si>
  <si>
    <t>0.013</t>
  </si>
  <si>
    <t>0.012</t>
  </si>
  <si>
    <t>c-decoder batch+diar</t>
  </si>
  <si>
    <t>0.043</t>
  </si>
  <si>
    <t>0.038</t>
  </si>
  <si>
    <t>0.037</t>
  </si>
  <si>
    <t>0.049</t>
  </si>
  <si>
    <t>0.034</t>
  </si>
  <si>
    <t>0.036</t>
  </si>
  <si>
    <t>c-decoder online (normal)</t>
  </si>
  <si>
    <t>210ch (1.049)</t>
  </si>
  <si>
    <t>240ch (1.030)</t>
  </si>
  <si>
    <t>280ch (1.035)</t>
  </si>
  <si>
    <t>50ch (1.032)</t>
  </si>
  <si>
    <t>175ch (1.039)</t>
  </si>
  <si>
    <t>500ch (1.000)</t>
  </si>
  <si>
    <t>265ch (1.045)</t>
  </si>
  <si>
    <t>400ch (1.018)</t>
  </si>
  <si>
    <t>200ch (1.002)</t>
  </si>
  <si>
    <t>c-decoder online (rxtx)</t>
  </si>
  <si>
    <t>240ch (1.029)</t>
  </si>
  <si>
    <t>250ch (1.028)</t>
  </si>
  <si>
    <t>320ch (1.034)</t>
  </si>
  <si>
    <t>57ch (1.002)</t>
  </si>
  <si>
    <t>185ch (1.044)</t>
  </si>
  <si>
    <t>500ch (1.001)</t>
  </si>
  <si>
    <t>270ch (1.048)</t>
  </si>
  <si>
    <t>500ch (1.002)</t>
  </si>
  <si>
    <t>cs GPU C=1 (normal)</t>
  </si>
  <si>
    <t>75ch (1.013)</t>
  </si>
  <si>
    <t>95ch (1.008)</t>
  </si>
  <si>
    <t>125ch (1.029)</t>
  </si>
  <si>
    <t>115ch (1.039)</t>
  </si>
  <si>
    <t>165ch (1.023)</t>
  </si>
  <si>
    <t>200ch (1.030)</t>
  </si>
  <si>
    <t>120ch (1.025)</t>
  </si>
  <si>
    <t>135ch (1.044)</t>
  </si>
  <si>
    <t>50ch (1.034)</t>
  </si>
  <si>
    <t>cs GPU C=1 (rxtx)</t>
  </si>
  <si>
    <t>75ch (1.041)</t>
  </si>
  <si>
    <t>110ch (1.019)</t>
  </si>
  <si>
    <t>120ch (1.021)</t>
  </si>
  <si>
    <t>80ch (1.047)</t>
  </si>
  <si>
    <t>165ch (1.033)</t>
  </si>
  <si>
    <t>200ch (1.021)</t>
  </si>
  <si>
    <t>120ch (1.023)</t>
  </si>
  <si>
    <t>135ch (1.029)</t>
  </si>
  <si>
    <t>cs GPU C=2 (normal)</t>
  </si>
  <si>
    <t>90ch (1.050)</t>
  </si>
  <si>
    <t>135ch (1.039)</t>
  </si>
  <si>
    <t>140ch (1.035)</t>
  </si>
  <si>
    <t>165ch (1.039)</t>
  </si>
  <si>
    <t>180ch (1.045)</t>
  </si>
  <si>
    <t>260ch (1.045)</t>
  </si>
  <si>
    <t>145ch (1.040)</t>
  </si>
  <si>
    <t>175ch (1.047)</t>
  </si>
  <si>
    <t>cs GPU C=4 (normal)</t>
  </si>
  <si>
    <t>120ch (1.011)</t>
  </si>
  <si>
    <t>185ch (1.047)</t>
  </si>
  <si>
    <t>195ch (1.046)</t>
  </si>
  <si>
    <t>200ch (1.025)</t>
  </si>
  <si>
    <t>200ch (1.017)</t>
  </si>
  <si>
    <t>340ch (1.029)</t>
  </si>
  <si>
    <t>195ch (1.028)</t>
  </si>
  <si>
    <t>200ch (1.009)</t>
  </si>
  <si>
    <t>80ch (1.009)</t>
  </si>
  <si>
    <t>cs CPU C=1 (normal)</t>
  </si>
  <si>
    <t>33ch (1.031)</t>
  </si>
  <si>
    <t>58ch (1.008)</t>
  </si>
  <si>
    <t>65ch (1.016)</t>
  </si>
  <si>
    <t>95ch (1.035)</t>
  </si>
  <si>
    <t>80ch (1.026)</t>
  </si>
  <si>
    <t>70ch (1.017)</t>
  </si>
  <si>
    <t>65ch (1.017)</t>
  </si>
  <si>
    <t>115ch (1.031)</t>
  </si>
  <si>
    <t>cs CPU C=1 (rxtx)</t>
  </si>
  <si>
    <t>30ch (1.046)</t>
  </si>
  <si>
    <t>60ch (1.039)</t>
  </si>
  <si>
    <t>65ch (1.022)</t>
  </si>
  <si>
    <t>90ch (1.049)</t>
  </si>
  <si>
    <t>75ch (1.044)</t>
  </si>
  <si>
    <t>70ch (1.034)</t>
  </si>
  <si>
    <t>120ch (1.036)</t>
  </si>
  <si>
    <t>cs CPU C=4 (normal)</t>
  </si>
  <si>
    <t>72ch (1.026)</t>
  </si>
  <si>
    <t>85ch (1.038)</t>
  </si>
  <si>
    <t>125ch (1.045)</t>
  </si>
  <si>
    <t>105ch (1.024)</t>
  </si>
  <si>
    <t>95ch (1.024)</t>
  </si>
  <si>
    <t>85ch (1.037)</t>
  </si>
  <si>
    <t>145ch (1.027)</t>
  </si>
  <si>
    <t>cs CPU C=4 (rxtx)</t>
  </si>
  <si>
    <t>75ch (1.040)</t>
  </si>
  <si>
    <t>85ch (1.028)</t>
  </si>
  <si>
    <t>75ch (1.048)</t>
  </si>
  <si>
    <t>105ch (1.034)</t>
  </si>
  <si>
    <t>100ch (1.044)</t>
  </si>
  <si>
    <t>85ch (1.032)</t>
  </si>
  <si>
    <t>155ch (1.047)</t>
  </si>
  <si>
    <t>cs CPU batch-like C=4</t>
  </si>
  <si>
    <t>0.033</t>
  </si>
  <si>
    <t>0.026</t>
  </si>
  <si>
    <t>0.027</t>
  </si>
  <si>
    <t>0.017</t>
  </si>
  <si>
    <t>0.015</t>
  </si>
  <si>
    <t>* H100 PCIe (Lambda Cloud): 컨테이너 간 네트워크 지연 이슈로 online ch수가 기대보다 낮음. batch RTF는 정상.</t>
  </si>
  <si>
    <t>* RTX 4090 c-decoder online 500ch: GPU 15% 사용으로 GPU 한계 아님. 워커/마스터 세션 한계(NUMWORKERS=800). 실제 GPU 능력은 더 높음.</t>
  </si>
  <si>
    <t>* RTX PRO 6000 (g7e.8xl): Intel Xeon Platinum 8559C (Emerald Rapids) CPU 탑재. 동일 vCore(32) 대비 c/cs-decoder CPU 테스트 처리 채널 수가 크게 증가</t>
  </si>
  <si>
    <t>* 연두색 셀 = 해당 테스트에서 최고 성능</t>
  </si>
  <si>
    <t>Instance</t>
  </si>
  <si>
    <t>GPU</t>
  </si>
  <si>
    <t>vCores</t>
  </si>
  <si>
    <t>RAM(MB)</t>
  </si>
  <si>
    <t>Decoder</t>
  </si>
  <si>
    <t>Version</t>
  </si>
  <si>
    <t>Device</t>
  </si>
  <si>
    <t>Mode</t>
  </si>
  <si>
    <t>Diar</t>
  </si>
  <si>
    <t>CHUNK
ACCUM</t>
  </si>
  <si>
    <t>Audio Data</t>
  </si>
  <si>
    <t>Files</t>
  </si>
  <si>
    <t>Audio
(min)</t>
  </si>
  <si>
    <t>Avg
(sec)</t>
  </si>
  <si>
    <t>Total
Time(s)</t>
  </si>
  <si>
    <t>RTF</t>
  </si>
  <si>
    <t>Delay
Avg(s)</t>
  </si>
  <si>
    <t>Ch</t>
  </si>
  <si>
    <t>GPU Util
Avg(%)</t>
  </si>
  <si>
    <t>GPU Util
Max(%)</t>
  </si>
  <si>
    <t>GPU Mem
Avg(MB)</t>
  </si>
  <si>
    <t>GPU Mem
Max(MB)</t>
  </si>
  <si>
    <t>CPU
Avg(%)</t>
  </si>
  <si>
    <t>CPU
Max(%)</t>
  </si>
  <si>
    <t>MEM
Avg(%)</t>
  </si>
  <si>
    <t>MEM
Max(%)</t>
  </si>
  <si>
    <t>Disk R
(MB/s)</t>
  </si>
  <si>
    <t>Disk W
(MB/s)</t>
  </si>
  <si>
    <t>TIME_WAIT</t>
  </si>
  <si>
    <t>Failed</t>
  </si>
  <si>
    <t>ZeroTxt</t>
  </si>
  <si>
    <t>T4_8vcore</t>
  </si>
  <si>
    <t>Tesla T4, 15360 MiB</t>
  </si>
  <si>
    <t>16</t>
  </si>
  <si>
    <t>63596</t>
  </si>
  <si>
    <t>c-decoder</t>
  </si>
  <si>
    <t>6.3.1</t>
  </si>
  <si>
    <t>batch</t>
  </si>
  <si>
    <t>X</t>
  </si>
  <si>
    <t>normal_wave_200 (통합, 129s)</t>
  </si>
  <si>
    <t>0.01994</t>
  </si>
  <si>
    <t>13→216,</t>
  </si>
  <si>
    <t>O</t>
  </si>
  <si>
    <t>0.04283</t>
  </si>
  <si>
    <t>171→166,</t>
  </si>
  <si>
    <t>online</t>
  </si>
  <si>
    <t>normal_wave (통합, 129s)</t>
  </si>
  <si>
    <t>210 (1.049)</t>
  </si>
  <si>
    <t>367→385,</t>
  </si>
  <si>
    <t>rx_tx_80 (분리, 57s)</t>
  </si>
  <si>
    <t>240 (1.029)</t>
  </si>
  <si>
    <t>420→577,</t>
  </si>
  <si>
    <t>cs-decoder</t>
  </si>
  <si>
    <t>6.3.2</t>
  </si>
  <si>
    <t>CPU</t>
  </si>
  <si>
    <t>1</t>
  </si>
  <si>
    <t>33 (1.031)</t>
  </si>
  <si>
    <t>28→20,</t>
  </si>
  <si>
    <t>30 (1.046)</t>
  </si>
  <si>
    <t>6→52,</t>
  </si>
  <si>
    <t>75 (1.013)</t>
  </si>
  <si>
    <t>22→152,</t>
  </si>
  <si>
    <t>75 (1.041)</t>
  </si>
  <si>
    <t>64→69,</t>
  </si>
  <si>
    <t>6.3.3</t>
  </si>
  <si>
    <t>2</t>
  </si>
  <si>
    <t>90 (1.050)</t>
  </si>
  <si>
    <t>152→48,</t>
  </si>
  <si>
    <t>4</t>
  </si>
  <si>
    <t>120 (1.011)</t>
  </si>
  <si>
    <t>177→167,</t>
  </si>
  <si>
    <t>m-decoder</t>
  </si>
  <si>
    <t>meeting_4files (16k, 83s)</t>
  </si>
  <si>
    <t>0.20742</t>
  </si>
  <si>
    <t>0→0,</t>
  </si>
  <si>
    <t>0.22100</t>
  </si>
  <si>
    <t>3 (1.048)</t>
  </si>
  <si>
    <t>14→12,</t>
  </si>
  <si>
    <t>A10G_32vcore</t>
  </si>
  <si>
    <t>NVIDIA A10G, 23028 MiB</t>
  </si>
  <si>
    <t>32</t>
  </si>
  <si>
    <t>127432</t>
  </si>
  <si>
    <t>0.02216</t>
  </si>
  <si>
    <t>408→259,</t>
  </si>
  <si>
    <t>0.03841</t>
  </si>
  <si>
    <t>218→180,</t>
  </si>
  <si>
    <t>240 (1.030)</t>
  </si>
  <si>
    <t>302→322,</t>
  </si>
  <si>
    <t>250 (1.028)</t>
  </si>
  <si>
    <t>330→373,</t>
  </si>
  <si>
    <t>batch-like</t>
  </si>
  <si>
    <t>0.03277</t>
  </si>
  <si>
    <t>415→46,</t>
  </si>
  <si>
    <t>58 (1.008)</t>
  </si>
  <si>
    <t>38→46,</t>
  </si>
  <si>
    <t>60 (1.039)</t>
  </si>
  <si>
    <t>74→87,</t>
  </si>
  <si>
    <t>72 (1.026)</t>
  </si>
  <si>
    <t>22→9,</t>
  </si>
  <si>
    <t>75 (1.040)</t>
  </si>
  <si>
    <t>8→114,</t>
  </si>
  <si>
    <t>95 (1.008)</t>
  </si>
  <si>
    <t>63→42,</t>
  </si>
  <si>
    <t>110 (1.019)</t>
  </si>
  <si>
    <t>162→106,</t>
  </si>
  <si>
    <t>135 (1.039)</t>
  </si>
  <si>
    <t>126→132,</t>
  </si>
  <si>
    <t>185 (1.047)</t>
  </si>
  <si>
    <t>28→32,</t>
  </si>
  <si>
    <t>0.15400</t>
  </si>
  <si>
    <t>94,</t>
  </si>
  <si>
    <t>0.17200</t>
  </si>
  <si>
    <t>166,</t>
  </si>
  <si>
    <t>5 (1.015)</t>
  </si>
  <si>
    <t>26→22,</t>
  </si>
  <si>
    <t>L4_32vcore</t>
  </si>
  <si>
    <t>NVIDIA L4, 23034 MiB</t>
  </si>
  <si>
    <t>124072</t>
  </si>
  <si>
    <t>0.01942</t>
  </si>
  <si>
    <t>405→312,</t>
  </si>
  <si>
    <t>0.03659</t>
  </si>
  <si>
    <t>301→170,</t>
  </si>
  <si>
    <t>280 (1.035)</t>
  </si>
  <si>
    <t>262→242,</t>
  </si>
  <si>
    <t>320 (1.034)</t>
  </si>
  <si>
    <t>462→803,</t>
  </si>
  <si>
    <t>0.02631</t>
  </si>
  <si>
    <t>77→42,</t>
  </si>
  <si>
    <t>65 (1.016)</t>
  </si>
  <si>
    <t>33→23,</t>
  </si>
  <si>
    <t>65 (1.022)</t>
  </si>
  <si>
    <t>12→114,</t>
  </si>
  <si>
    <t>85 (1.038)</t>
  </si>
  <si>
    <t>42→62,</t>
  </si>
  <si>
    <t>85 (1.028)</t>
  </si>
  <si>
    <t>125→139,</t>
  </si>
  <si>
    <t>125 (1.029)</t>
  </si>
  <si>
    <t>122→153,</t>
  </si>
  <si>
    <t>120 (1.021)</t>
  </si>
  <si>
    <t>153→112,</t>
  </si>
  <si>
    <t>140 (1.035)</t>
  </si>
  <si>
    <t>83→122,</t>
  </si>
  <si>
    <t>195 (1.046)</t>
  </si>
  <si>
    <t>32→12,</t>
  </si>
  <si>
    <t>0.16700</t>
  </si>
  <si>
    <t>88,</t>
  </si>
  <si>
    <t>170,</t>
  </si>
  <si>
    <t>5 (1.047)</t>
  </si>
  <si>
    <t>169→20,</t>
  </si>
  <si>
    <t>H100_26vcore</t>
  </si>
  <si>
    <t>NVIDIA H100 PCIe, 81559 MiB</t>
  </si>
  <si>
    <t>26</t>
  </si>
  <si>
    <t>226488</t>
  </si>
  <si>
    <t>0.05061</t>
  </si>
  <si>
    <t>10→153,</t>
  </si>
  <si>
    <t>0.04948</t>
  </si>
  <si>
    <t>127→139,</t>
  </si>
  <si>
    <t>50 (1.032)</t>
  </si>
  <si>
    <t>254→108,</t>
  </si>
  <si>
    <t>57 (1.002)</t>
  </si>
  <si>
    <t>97→111,</t>
  </si>
  <si>
    <t>95 (1.035)</t>
  </si>
  <si>
    <t>48→28,</t>
  </si>
  <si>
    <t>90 (1.049)</t>
  </si>
  <si>
    <t>168→132,</t>
  </si>
  <si>
    <t>125 (1.045)</t>
  </si>
  <si>
    <t>149→157,</t>
  </si>
  <si>
    <t>75 (1.048)</t>
  </si>
  <si>
    <t>141→56,</t>
  </si>
  <si>
    <t>115 (1.039)</t>
  </si>
  <si>
    <t>188→178,</t>
  </si>
  <si>
    <t>80 (1.047)</t>
  </si>
  <si>
    <t>178→167,</t>
  </si>
  <si>
    <t>165 (1.039)</t>
  </si>
  <si>
    <t>68→78,</t>
  </si>
  <si>
    <t>200 (1.025)</t>
  </si>
  <si>
    <t>13→408,</t>
  </si>
  <si>
    <t>0.12300</t>
  </si>
  <si>
    <t>68,</t>
  </si>
  <si>
    <t>0.17700</t>
  </si>
  <si>
    <t>86,</t>
  </si>
  <si>
    <t>5 (1.034)</t>
  </si>
  <si>
    <t>8→18,</t>
  </si>
  <si>
    <t>RTX6000Ada_32vcore</t>
  </si>
  <si>
    <t>NVIDIA RTX 6000 Ada Generation, 49140 MiB</t>
  </si>
  <si>
    <t>257442</t>
  </si>
  <si>
    <t>0.02384</t>
  </si>
  <si>
    <t>416→349,</t>
  </si>
  <si>
    <t>0.03371</t>
  </si>
  <si>
    <t>322→170,</t>
  </si>
  <si>
    <t>175 (1.039)</t>
  </si>
  <si>
    <t>43→52,</t>
  </si>
  <si>
    <t>185 (1.044)</t>
  </si>
  <si>
    <t>252→301,</t>
  </si>
  <si>
    <t>0.02724</t>
  </si>
  <si>
    <t>52→42,</t>
  </si>
  <si>
    <t>80 (1.026)</t>
  </si>
  <si>
    <t>2→82,</t>
  </si>
  <si>
    <t>62→160,</t>
  </si>
  <si>
    <t>105 (1.024)</t>
  </si>
  <si>
    <t>182→192,</t>
  </si>
  <si>
    <t>105 (1.034)</t>
  </si>
  <si>
    <t>108→121,</t>
  </si>
  <si>
    <t>165 (1.023)</t>
  </si>
  <si>
    <t>82→72,</t>
  </si>
  <si>
    <t>165 (1.033)</t>
  </si>
  <si>
    <t>118→160,</t>
  </si>
  <si>
    <t>180 (1.045)</t>
  </si>
  <si>
    <t>182→122,</t>
  </si>
  <si>
    <t>200 (1.017)</t>
  </si>
  <si>
    <t>362→382,</t>
  </si>
  <si>
    <t>0.08800</t>
  </si>
  <si>
    <t>66,</t>
  </si>
  <si>
    <t>0.08200</t>
  </si>
  <si>
    <t>119,</t>
  </si>
  <si>
    <t>7 (1.009)</t>
  </si>
  <si>
    <t>22→15,</t>
  </si>
  <si>
    <t>4090_32vcore</t>
  </si>
  <si>
    <t>NVIDIA GeForce RTX 4090, 24564 MiB</t>
  </si>
  <si>
    <t>31858</t>
  </si>
  <si>
    <t>0.01564</t>
  </si>
  <si>
    <t>406→302,</t>
  </si>
  <si>
    <t>0.03822</t>
  </si>
  <si>
    <t>265→187,</t>
  </si>
  <si>
    <t>500 (1.000)</t>
  </si>
  <si>
    <t>585→385,</t>
  </si>
  <si>
    <t>500 (1.001)</t>
  </si>
  <si>
    <t>44→924,</t>
  </si>
  <si>
    <t>0.01703</t>
  </si>
  <si>
    <t>65→119,</t>
  </si>
  <si>
    <t>70 (1.017)</t>
  </si>
  <si>
    <t>78→237,</t>
  </si>
  <si>
    <t>75 (1.044)</t>
  </si>
  <si>
    <t>108→197,</t>
  </si>
  <si>
    <t>95 (1.024)</t>
  </si>
  <si>
    <t>80→40,</t>
  </si>
  <si>
    <t>100 (1.044)</t>
  </si>
  <si>
    <t>211→219,</t>
  </si>
  <si>
    <t>200 (1.030)</t>
  </si>
  <si>
    <t>39→778,</t>
  </si>
  <si>
    <t>200 (1.021)</t>
  </si>
  <si>
    <t>40→227,</t>
  </si>
  <si>
    <t>260 (1.045)</t>
  </si>
  <si>
    <t>409→526,</t>
  </si>
  <si>
    <t>340 (1.029)</t>
  </si>
  <si>
    <t>198→236,</t>
  </si>
  <si>
    <t>0.08000</t>
  </si>
  <si>
    <t>0.10400</t>
  </si>
  <si>
    <t>125,</t>
  </si>
  <si>
    <t>6 (1.020)</t>
  </si>
  <si>
    <t>28→17,</t>
  </si>
  <si>
    <t>L40S_32vcore</t>
  </si>
  <si>
    <t>NVIDIA L40S, 46068 MiB</t>
  </si>
  <si>
    <t>254344</t>
  </si>
  <si>
    <t>0.09700</t>
  </si>
  <si>
    <t>71,</t>
  </si>
  <si>
    <t>0.12400</t>
  </si>
  <si>
    <t>139,</t>
  </si>
  <si>
    <t>6 (1.016)</t>
  </si>
  <si>
    <t>26→15,</t>
  </si>
  <si>
    <t>0.01750</t>
  </si>
  <si>
    <t>407→350,</t>
  </si>
  <si>
    <t>0.03648</t>
  </si>
  <si>
    <t>309→186,</t>
  </si>
  <si>
    <t>265 (1.045)</t>
  </si>
  <si>
    <t>290→273,</t>
  </si>
  <si>
    <t>270 (1.048)</t>
  </si>
  <si>
    <t>342→396,</t>
  </si>
  <si>
    <t>120 (1.025)</t>
  </si>
  <si>
    <t>174→162,</t>
  </si>
  <si>
    <t>120 (1.023)</t>
  </si>
  <si>
    <t>87→106,</t>
  </si>
  <si>
    <t>145 (1.040)</t>
  </si>
  <si>
    <t>96→112,</t>
  </si>
  <si>
    <t>195 (1.028)</t>
  </si>
  <si>
    <t>401→16,</t>
  </si>
  <si>
    <t>65 (1.017)</t>
  </si>
  <si>
    <t>8→22,</t>
  </si>
  <si>
    <t>70 (1.034)</t>
  </si>
  <si>
    <t>88→108,</t>
  </si>
  <si>
    <t>85 (1.037)</t>
  </si>
  <si>
    <t>14→66,</t>
  </si>
  <si>
    <t>85 (1.032)</t>
  </si>
  <si>
    <t>130→148,</t>
  </si>
  <si>
    <t>0.02633</t>
  </si>
  <si>
    <t>74→44,</t>
  </si>
  <si>
    <t>RTX_PRO_6000_32vcore</t>
  </si>
  <si>
    <t>NVIDIA RTX PRO 6000 Blackwell Server Edition, 97887 MiB</t>
  </si>
  <si>
    <t>255690</t>
  </si>
  <si>
    <t>74,</t>
  </si>
  <si>
    <t>0.11100</t>
  </si>
  <si>
    <t>132,</t>
  </si>
  <si>
    <t>9 (1.012)</t>
  </si>
  <si>
    <t>50→25,</t>
  </si>
  <si>
    <t>0.01287</t>
  </si>
  <si>
    <t>408→424,</t>
  </si>
  <si>
    <t>0.03375</t>
  </si>
  <si>
    <t>394→193,</t>
  </si>
  <si>
    <t>400 (1.018)</t>
  </si>
  <si>
    <t>198→404,</t>
  </si>
  <si>
    <t>500 (1.002)</t>
  </si>
  <si>
    <t>382→726,</t>
  </si>
  <si>
    <t>135 (1.044)</t>
  </si>
  <si>
    <t>123→130,</t>
  </si>
  <si>
    <t>135 (1.029)</t>
  </si>
  <si>
    <t>113→128,</t>
  </si>
  <si>
    <t>175 (1.047)</t>
  </si>
  <si>
    <t>67→52,</t>
  </si>
  <si>
    <t>200 (1.009)</t>
  </si>
  <si>
    <t>46→406,</t>
  </si>
  <si>
    <t>115 (1.031)</t>
  </si>
  <si>
    <t>163→172,</t>
  </si>
  <si>
    <t>120 (1.036)</t>
  </si>
  <si>
    <t>123→141,</t>
  </si>
  <si>
    <t>145 (1.027)</t>
  </si>
  <si>
    <t>127→112,</t>
  </si>
  <si>
    <t>155 (1.047)</t>
  </si>
  <si>
    <t>325→258,</t>
  </si>
  <si>
    <t>0.01525</t>
  </si>
  <si>
    <t>92→72,</t>
  </si>
  <si>
    <t>T4
16vC</t>
  </si>
  <si>
    <t>T4 4vC
(디코더 단독
M/W 분리)</t>
  </si>
  <si>
    <t>A10G
32vC</t>
  </si>
  <si>
    <t>L4
32vC</t>
  </si>
  <si>
    <t>H100 PCIe
26vC</t>
  </si>
  <si>
    <t>RTX 6000 Ada
32vC</t>
  </si>
  <si>
    <t>L40S
32vC</t>
  </si>
  <si>
    <t>RTX PRO 6000
32vC</t>
  </si>
  <si>
    <t>RTX 4090
32vC</t>
  </si>
  <si>
    <t>단위: 최대 동시 채널 수 (RTF &lt;= 1.05 기준)</t>
  </si>
  <si>
    <t>* 노란색: H100 PCIe 네트워크 지연 영향 (실제 GPU 성능보다 낮은 결과)</t>
  </si>
  <si>
    <t>원격 디코더 분리 배치 테스트 결과</t>
  </si>
  <si>
    <t>구성:</t>
  </si>
  <si>
    <t xml:space="preserve">  - 클라이언트 + Master + Worker: RTX 4090 베어메탈 (32vC, 32GB)</t>
  </si>
  <si>
    <t xml:space="preserve">  - 디코더(c-decoder/cs-decoder): AWS T4 (g4dn.xlarge, 4vC, 16GB)</t>
  </si>
  <si>
    <t xml:space="preserve">  - 네트워크: 공인 IP 기반 (클라이언트 ↔ 디코더 서버 간 WAN)</t>
  </si>
  <si>
    <t>목적: 디코더만 별도 저사양 GPU 서버에 분리 배치했을 때의 성능 확인</t>
  </si>
  <si>
    <t>디코더 서버 하드웨어 지표 (sysmon, cs-decoder 테스트 전체 구간):</t>
  </si>
  <si>
    <t xml:space="preserve">  GPU0 Util: Max=100%, Avg=41.9%</t>
  </si>
  <si>
    <t xml:space="preserve">  GPU0 Mem:  Max=2563MB, Avg=2563MB</t>
  </si>
  <si>
    <t xml:space="preserve">  CPU:       Max=100%, Avg=54.7%</t>
  </si>
  <si>
    <t xml:space="preserve">  MEM:       Max=40.3%, Avg=37.4%</t>
  </si>
  <si>
    <t>참고: c-decoder online 200ch에서 RTF=1.002로 여유 있었으나, 추가 탐색 미진행.</t>
  </si>
  <si>
    <t>cs-decoder C=1 k8s: T4 4vC + k8s(wss) 구성, Master/Worker 별도 노드. 50ch (RTF=1.034).</t>
  </si>
  <si>
    <t>CHUNK</t>
  </si>
  <si>
    <t>Audio(min)</t>
  </si>
  <si>
    <t>Avg(s)</t>
  </si>
  <si>
    <t>Total Time(s)</t>
  </si>
  <si>
    <t>Delay Avg(s)</t>
  </si>
  <si>
    <t>시간 범위</t>
  </si>
  <si>
    <t>디코더 GPU
Util Max(%)</t>
  </si>
  <si>
    <t>디코더 CPU
Max(%)</t>
  </si>
  <si>
    <t>디코더 MEM
Max(%)</t>
  </si>
  <si>
    <t>14:38:04 ~ 14:39:28</t>
  </si>
  <si>
    <t>200 (1.002)</t>
  </si>
  <si>
    <t>12:21:08 ~ 12:23:33</t>
  </si>
  <si>
    <t>80 (1.009)</t>
  </si>
  <si>
    <t>13:46:14 ~ 13:53:29</t>
  </si>
  <si>
    <t>14:18:56 ~ 14:25:39</t>
  </si>
  <si>
    <t>50 (1.034)</t>
  </si>
  <si>
    <t>12:30:52 ~ 12:33:21</t>
  </si>
  <si>
    <t>c=1, 250ms 청크 크기, c=2는 500ms, c=4는 1초</t>
    <phoneticPr fontId="11" type="noConversion"/>
  </si>
  <si>
    <t>RTX PRO 6000
(g7e.8xl)
32vC / 256GB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</si>
</sst>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12"/>
      <color rgb="FF2F549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006100"/>
      <name val="맑은 고딕"/>
      <family val="3"/>
      <charset val="129"/>
    </font>
    <font>
      <sz val="10"/>
      <color rgb="FF999999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9"/>
      <color rgb="FF006100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8F0FE"/>
      </patternFill>
    </fill>
    <fill>
      <patternFill patternType="solid">
        <fgColor rgb="FFE2EFDA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8B45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1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0" xfId="0" applyFont="1"/>
    <xf numFmtId="0" fontId="3" fillId="11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/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/>
    <xf numFmtId="0" fontId="7" fillId="0" borderId="0" xfId="0" applyFont="1"/>
    <xf numFmtId="0" fontId="0" fillId="0" borderId="0" xfId="0"/>
    <xf numFmtId="0" fontId="0" fillId="0" borderId="0" xfId="0" applyBorder="1"/>
    <xf numFmtId="0" fontId="6" fillId="0" borderId="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B1:B73"/>
  <sheetViews>
    <sheetView topLeftCell="A39" workbookViewId="0"/>
  </sheetViews>
  <sheetFormatPr defaultRowHeight="17" x14ac:dyDescent="0.45"/>
  <cols>
    <col min="1" max="1" width="3" customWidth="1"/>
    <col min="2" max="2" width="90" customWidth="1"/>
  </cols>
  <sheetData>
    <row r="1" spans="2:2" x14ac:dyDescent="0.45">
      <c r="B1" s="1"/>
    </row>
    <row r="2" spans="2:2" ht="17.5" x14ac:dyDescent="0.45">
      <c r="B2" s="2" t="s">
        <v>0</v>
      </c>
    </row>
    <row r="3" spans="2:2" x14ac:dyDescent="0.45">
      <c r="B3" s="1" t="s">
        <v>1</v>
      </c>
    </row>
    <row r="4" spans="2:2" x14ac:dyDescent="0.45">
      <c r="B4" s="1" t="s">
        <v>2</v>
      </c>
    </row>
    <row r="5" spans="2:2" x14ac:dyDescent="0.45">
      <c r="B5" s="1"/>
    </row>
    <row r="6" spans="2:2" x14ac:dyDescent="0.45">
      <c r="B6" s="1" t="s">
        <v>3</v>
      </c>
    </row>
    <row r="7" spans="2:2" x14ac:dyDescent="0.45">
      <c r="B7" s="1" t="s">
        <v>4</v>
      </c>
    </row>
    <row r="8" spans="2:2" x14ac:dyDescent="0.45">
      <c r="B8" s="1"/>
    </row>
    <row r="9" spans="2:2" x14ac:dyDescent="0.45">
      <c r="B9" s="1"/>
    </row>
    <row r="10" spans="2:2" ht="17.5" x14ac:dyDescent="0.45">
      <c r="B10" s="2" t="s">
        <v>5</v>
      </c>
    </row>
    <row r="11" spans="2:2" x14ac:dyDescent="0.45">
      <c r="B11" s="1" t="s">
        <v>6</v>
      </c>
    </row>
    <row r="12" spans="2:2" x14ac:dyDescent="0.45">
      <c r="B12" s="1" t="s">
        <v>7</v>
      </c>
    </row>
    <row r="13" spans="2:2" x14ac:dyDescent="0.45">
      <c r="B13" s="1" t="s">
        <v>8</v>
      </c>
    </row>
    <row r="14" spans="2:2" x14ac:dyDescent="0.45">
      <c r="B14" s="1" t="s">
        <v>9</v>
      </c>
    </row>
    <row r="15" spans="2:2" x14ac:dyDescent="0.45">
      <c r="B15" s="1"/>
    </row>
    <row r="16" spans="2:2" x14ac:dyDescent="0.45">
      <c r="B16" s="1" t="s">
        <v>10</v>
      </c>
    </row>
    <row r="17" spans="2:2" x14ac:dyDescent="0.45">
      <c r="B17" s="1" t="s">
        <v>11</v>
      </c>
    </row>
    <row r="18" spans="2:2" x14ac:dyDescent="0.45">
      <c r="B18" s="1" t="s">
        <v>12</v>
      </c>
    </row>
    <row r="19" spans="2:2" x14ac:dyDescent="0.45">
      <c r="B19" s="1"/>
    </row>
    <row r="20" spans="2:2" x14ac:dyDescent="0.45">
      <c r="B20" s="1"/>
    </row>
    <row r="21" spans="2:2" ht="17.5" x14ac:dyDescent="0.45">
      <c r="B21" s="2" t="s">
        <v>13</v>
      </c>
    </row>
    <row r="22" spans="2:2" x14ac:dyDescent="0.45">
      <c r="B22" s="1"/>
    </row>
    <row r="23" spans="2:2" x14ac:dyDescent="0.45">
      <c r="B23" s="1" t="s">
        <v>14</v>
      </c>
    </row>
    <row r="24" spans="2:2" x14ac:dyDescent="0.45">
      <c r="B24" s="1" t="s">
        <v>15</v>
      </c>
    </row>
    <row r="25" spans="2:2" x14ac:dyDescent="0.45">
      <c r="B25" s="1" t="s">
        <v>16</v>
      </c>
    </row>
    <row r="26" spans="2:2" x14ac:dyDescent="0.45">
      <c r="B26" s="1" t="s">
        <v>17</v>
      </c>
    </row>
    <row r="27" spans="2:2" x14ac:dyDescent="0.45">
      <c r="B27" s="1"/>
    </row>
    <row r="28" spans="2:2" x14ac:dyDescent="0.45">
      <c r="B28" s="1" t="s">
        <v>18</v>
      </c>
    </row>
    <row r="29" spans="2:2" x14ac:dyDescent="0.45">
      <c r="B29" s="1" t="s">
        <v>19</v>
      </c>
    </row>
    <row r="30" spans="2:2" x14ac:dyDescent="0.45">
      <c r="B30" s="1" t="s">
        <v>20</v>
      </c>
    </row>
    <row r="31" spans="2:2" x14ac:dyDescent="0.45">
      <c r="B31" s="1" t="s">
        <v>21</v>
      </c>
    </row>
    <row r="32" spans="2:2" x14ac:dyDescent="0.45">
      <c r="B32" s="1" t="s">
        <v>22</v>
      </c>
    </row>
    <row r="33" spans="2:2" x14ac:dyDescent="0.45">
      <c r="B33" s="1"/>
    </row>
    <row r="34" spans="2:2" x14ac:dyDescent="0.45">
      <c r="B34" s="1" t="s">
        <v>23</v>
      </c>
    </row>
    <row r="35" spans="2:2" x14ac:dyDescent="0.45">
      <c r="B35" s="1" t="s">
        <v>24</v>
      </c>
    </row>
    <row r="36" spans="2:2" x14ac:dyDescent="0.45">
      <c r="B36" s="1" t="s">
        <v>25</v>
      </c>
    </row>
    <row r="37" spans="2:2" x14ac:dyDescent="0.45">
      <c r="B37" s="1" t="s">
        <v>26</v>
      </c>
    </row>
    <row r="38" spans="2:2" x14ac:dyDescent="0.45">
      <c r="B38" s="1" t="s">
        <v>27</v>
      </c>
    </row>
    <row r="39" spans="2:2" x14ac:dyDescent="0.45">
      <c r="B39" s="1"/>
    </row>
    <row r="40" spans="2:2" x14ac:dyDescent="0.45">
      <c r="B40" s="1"/>
    </row>
    <row r="41" spans="2:2" ht="17.5" x14ac:dyDescent="0.45">
      <c r="B41" s="2" t="s">
        <v>28</v>
      </c>
    </row>
    <row r="42" spans="2:2" x14ac:dyDescent="0.45">
      <c r="B42" s="1"/>
    </row>
    <row r="43" spans="2:2" x14ac:dyDescent="0.45">
      <c r="B43" s="1" t="s">
        <v>29</v>
      </c>
    </row>
    <row r="44" spans="2:2" x14ac:dyDescent="0.45">
      <c r="B44" s="1" t="s">
        <v>30</v>
      </c>
    </row>
    <row r="45" spans="2:2" x14ac:dyDescent="0.45">
      <c r="B45" s="1" t="s">
        <v>31</v>
      </c>
    </row>
    <row r="46" spans="2:2" x14ac:dyDescent="0.45">
      <c r="B46" s="1"/>
    </row>
    <row r="47" spans="2:2" x14ac:dyDescent="0.45">
      <c r="B47" s="1"/>
    </row>
    <row r="48" spans="2:2" ht="17.5" x14ac:dyDescent="0.45">
      <c r="B48" s="2" t="s">
        <v>32</v>
      </c>
    </row>
    <row r="49" spans="2:2" x14ac:dyDescent="0.45">
      <c r="B49" s="1"/>
    </row>
    <row r="50" spans="2:2" x14ac:dyDescent="0.45">
      <c r="B50" s="1" t="s">
        <v>33</v>
      </c>
    </row>
    <row r="51" spans="2:2" x14ac:dyDescent="0.45">
      <c r="B51" s="1" t="s">
        <v>34</v>
      </c>
    </row>
    <row r="52" spans="2:2" x14ac:dyDescent="0.45">
      <c r="B52" s="1" t="s">
        <v>35</v>
      </c>
    </row>
    <row r="53" spans="2:2" x14ac:dyDescent="0.45">
      <c r="B53" s="1" t="s">
        <v>36</v>
      </c>
    </row>
    <row r="54" spans="2:2" x14ac:dyDescent="0.45">
      <c r="B54" s="1" t="s">
        <v>37</v>
      </c>
    </row>
    <row r="55" spans="2:2" x14ac:dyDescent="0.45">
      <c r="B55" s="1" t="s">
        <v>38</v>
      </c>
    </row>
    <row r="56" spans="2:2" x14ac:dyDescent="0.45">
      <c r="B56" s="1" t="s">
        <v>39</v>
      </c>
    </row>
    <row r="57" spans="2:2" x14ac:dyDescent="0.45">
      <c r="B57" s="1" t="s">
        <v>40</v>
      </c>
    </row>
    <row r="58" spans="2:2" x14ac:dyDescent="0.45">
      <c r="B58" s="1"/>
    </row>
    <row r="59" spans="2:2" x14ac:dyDescent="0.45">
      <c r="B59" s="1"/>
    </row>
    <row r="60" spans="2:2" ht="17.5" x14ac:dyDescent="0.45">
      <c r="B60" s="2" t="s">
        <v>41</v>
      </c>
    </row>
    <row r="61" spans="2:2" x14ac:dyDescent="0.45">
      <c r="B61" s="1"/>
    </row>
    <row r="62" spans="2:2" x14ac:dyDescent="0.45">
      <c r="B62" s="1" t="s">
        <v>42</v>
      </c>
    </row>
    <row r="63" spans="2:2" x14ac:dyDescent="0.45">
      <c r="B63" s="1" t="s">
        <v>43</v>
      </c>
    </row>
    <row r="64" spans="2:2" x14ac:dyDescent="0.45">
      <c r="B64" s="1" t="s">
        <v>44</v>
      </c>
    </row>
    <row r="65" spans="2:2" x14ac:dyDescent="0.45">
      <c r="B65" s="1" t="s">
        <v>45</v>
      </c>
    </row>
    <row r="66" spans="2:2" x14ac:dyDescent="0.45">
      <c r="B66" s="1" t="s">
        <v>46</v>
      </c>
    </row>
    <row r="67" spans="2:2" x14ac:dyDescent="0.45">
      <c r="B67" s="1" t="s">
        <v>47</v>
      </c>
    </row>
    <row r="68" spans="2:2" x14ac:dyDescent="0.45">
      <c r="B68" s="1" t="s">
        <v>48</v>
      </c>
    </row>
    <row r="69" spans="2:2" x14ac:dyDescent="0.45">
      <c r="B69" s="1"/>
    </row>
    <row r="70" spans="2:2" x14ac:dyDescent="0.45">
      <c r="B70" s="1" t="s">
        <v>49</v>
      </c>
    </row>
    <row r="71" spans="2:2" x14ac:dyDescent="0.45">
      <c r="B71" s="1" t="s">
        <v>50</v>
      </c>
    </row>
    <row r="72" spans="2:2" x14ac:dyDescent="0.45">
      <c r="B72" s="1" t="s">
        <v>51</v>
      </c>
    </row>
    <row r="73" spans="2:2" x14ac:dyDescent="0.45">
      <c r="B73" s="1" t="s">
        <v>52</v>
      </c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L23"/>
  <sheetViews>
    <sheetView tabSelected="1" workbookViewId="0">
      <selection activeCell="H29" sqref="H29"/>
    </sheetView>
  </sheetViews>
  <sheetFormatPr defaultRowHeight="17" x14ac:dyDescent="0.45"/>
  <cols>
    <col min="1" max="1" width="23.83203125" customWidth="1"/>
    <col min="2" max="7" width="18" customWidth="1"/>
    <col min="8" max="8" width="16" customWidth="1"/>
    <col min="9" max="9" width="11.5" bestFit="1" customWidth="1"/>
  </cols>
  <sheetData>
    <row r="1" spans="1:12" ht="85" x14ac:dyDescent="0.45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567</v>
      </c>
      <c r="J1" s="26" t="s">
        <v>61</v>
      </c>
    </row>
    <row r="2" spans="1:12" x14ac:dyDescent="0.45">
      <c r="A2" s="4" t="s">
        <v>62</v>
      </c>
      <c r="B2" s="5" t="s">
        <v>63</v>
      </c>
      <c r="C2" s="5" t="s">
        <v>64</v>
      </c>
      <c r="D2" s="5" t="s">
        <v>65</v>
      </c>
      <c r="E2" s="5" t="s">
        <v>66</v>
      </c>
      <c r="F2" s="5" t="s">
        <v>67</v>
      </c>
      <c r="G2" s="6" t="s">
        <v>68</v>
      </c>
      <c r="H2" s="32" t="s">
        <v>69</v>
      </c>
      <c r="I2" s="32" t="s">
        <v>70</v>
      </c>
      <c r="J2" s="24" t="s">
        <v>71</v>
      </c>
    </row>
    <row r="3" spans="1:12" x14ac:dyDescent="0.45">
      <c r="A3" s="4" t="s">
        <v>72</v>
      </c>
      <c r="B3" s="5" t="s">
        <v>73</v>
      </c>
      <c r="C3" s="5" t="s">
        <v>74</v>
      </c>
      <c r="D3" s="5" t="s">
        <v>74</v>
      </c>
      <c r="E3" s="5" t="s">
        <v>75</v>
      </c>
      <c r="F3" s="6" t="s">
        <v>76</v>
      </c>
      <c r="G3" s="5" t="s">
        <v>70</v>
      </c>
      <c r="H3" s="32" t="s">
        <v>77</v>
      </c>
      <c r="I3" s="32" t="s">
        <v>78</v>
      </c>
      <c r="J3" s="24" t="s">
        <v>71</v>
      </c>
    </row>
    <row r="4" spans="1:12" x14ac:dyDescent="0.45">
      <c r="A4" s="4" t="s">
        <v>79</v>
      </c>
      <c r="B4" s="5" t="s">
        <v>80</v>
      </c>
      <c r="C4" s="5" t="s">
        <v>81</v>
      </c>
      <c r="D4" s="5" t="s">
        <v>82</v>
      </c>
      <c r="E4" s="5" t="s">
        <v>83</v>
      </c>
      <c r="F4" s="6" t="s">
        <v>84</v>
      </c>
      <c r="G4" s="5" t="s">
        <v>85</v>
      </c>
      <c r="H4" s="32" t="s">
        <v>86</v>
      </c>
      <c r="I4" s="32" t="s">
        <v>87</v>
      </c>
      <c r="J4" s="24" t="s">
        <v>71</v>
      </c>
    </row>
    <row r="5" spans="1:12" x14ac:dyDescent="0.45">
      <c r="A5" s="7" t="s">
        <v>88</v>
      </c>
      <c r="B5" s="8" t="s">
        <v>89</v>
      </c>
      <c r="C5" s="8" t="s">
        <v>90</v>
      </c>
      <c r="D5" s="8" t="s">
        <v>91</v>
      </c>
      <c r="E5" s="8" t="s">
        <v>92</v>
      </c>
      <c r="F5" s="8" t="s">
        <v>93</v>
      </c>
      <c r="G5" s="6" t="s">
        <v>94</v>
      </c>
      <c r="H5" s="32" t="s">
        <v>95</v>
      </c>
      <c r="I5" s="32" t="s">
        <v>96</v>
      </c>
      <c r="J5" s="27" t="s">
        <v>97</v>
      </c>
    </row>
    <row r="6" spans="1:12" x14ac:dyDescent="0.45">
      <c r="A6" s="7" t="s">
        <v>98</v>
      </c>
      <c r="B6" s="8" t="s">
        <v>99</v>
      </c>
      <c r="C6" s="8" t="s">
        <v>100</v>
      </c>
      <c r="D6" s="8" t="s">
        <v>101</v>
      </c>
      <c r="E6" s="8" t="s">
        <v>102</v>
      </c>
      <c r="F6" s="6" t="s">
        <v>103</v>
      </c>
      <c r="G6" s="8" t="s">
        <v>100</v>
      </c>
      <c r="H6" s="32" t="s">
        <v>104</v>
      </c>
      <c r="I6" s="32" t="s">
        <v>103</v>
      </c>
      <c r="J6" s="24" t="s">
        <v>71</v>
      </c>
    </row>
    <row r="7" spans="1:12" s="38" customFormat="1" ht="32" x14ac:dyDescent="0.45">
      <c r="A7" s="33" t="s">
        <v>105</v>
      </c>
      <c r="B7" s="34" t="s">
        <v>106</v>
      </c>
      <c r="C7" s="34" t="s">
        <v>107</v>
      </c>
      <c r="D7" s="34" t="s">
        <v>108</v>
      </c>
      <c r="E7" s="34" t="s">
        <v>109</v>
      </c>
      <c r="F7" s="34" t="s">
        <v>110</v>
      </c>
      <c r="G7" s="35" t="s">
        <v>111</v>
      </c>
      <c r="H7" s="36" t="s">
        <v>112</v>
      </c>
      <c r="I7" s="36" t="s">
        <v>113</v>
      </c>
      <c r="J7" s="37" t="s">
        <v>114</v>
      </c>
    </row>
    <row r="8" spans="1:12" x14ac:dyDescent="0.45">
      <c r="A8" s="7" t="s">
        <v>115</v>
      </c>
      <c r="B8" s="8" t="s">
        <v>116</v>
      </c>
      <c r="C8" s="8" t="s">
        <v>117</v>
      </c>
      <c r="D8" s="8" t="s">
        <v>118</v>
      </c>
      <c r="E8" s="8" t="s">
        <v>119</v>
      </c>
      <c r="F8" s="8" t="s">
        <v>120</v>
      </c>
      <c r="G8" s="6" t="s">
        <v>121</v>
      </c>
      <c r="H8" s="32" t="s">
        <v>122</v>
      </c>
      <c r="I8" s="32" t="s">
        <v>123</v>
      </c>
      <c r="J8" s="24" t="s">
        <v>71</v>
      </c>
    </row>
    <row r="9" spans="1:12" ht="32" x14ac:dyDescent="0.45">
      <c r="A9" s="9" t="s">
        <v>124</v>
      </c>
      <c r="B9" s="10" t="s">
        <v>125</v>
      </c>
      <c r="C9" s="10" t="s">
        <v>126</v>
      </c>
      <c r="D9" s="10" t="s">
        <v>127</v>
      </c>
      <c r="E9" s="10" t="s">
        <v>128</v>
      </c>
      <c r="F9" s="10" t="s">
        <v>129</v>
      </c>
      <c r="G9" s="6" t="s">
        <v>130</v>
      </c>
      <c r="H9" s="32" t="s">
        <v>131</v>
      </c>
      <c r="I9" s="32" t="s">
        <v>132</v>
      </c>
      <c r="J9" s="27" t="s">
        <v>133</v>
      </c>
    </row>
    <row r="10" spans="1:12" x14ac:dyDescent="0.45">
      <c r="A10" s="9" t="s">
        <v>134</v>
      </c>
      <c r="B10" s="10" t="s">
        <v>135</v>
      </c>
      <c r="C10" s="10" t="s">
        <v>136</v>
      </c>
      <c r="D10" s="10" t="s">
        <v>137</v>
      </c>
      <c r="E10" s="10" t="s">
        <v>138</v>
      </c>
      <c r="F10" s="10" t="s">
        <v>139</v>
      </c>
      <c r="G10" s="6" t="s">
        <v>140</v>
      </c>
      <c r="H10" s="32" t="s">
        <v>141</v>
      </c>
      <c r="I10" s="32" t="s">
        <v>142</v>
      </c>
      <c r="J10" s="24" t="s">
        <v>71</v>
      </c>
    </row>
    <row r="11" spans="1:12" x14ac:dyDescent="0.45">
      <c r="A11" s="9" t="s">
        <v>143</v>
      </c>
      <c r="B11" s="10" t="s">
        <v>144</v>
      </c>
      <c r="C11" s="10" t="s">
        <v>145</v>
      </c>
      <c r="D11" s="10" t="s">
        <v>146</v>
      </c>
      <c r="E11" s="10" t="s">
        <v>147</v>
      </c>
      <c r="F11" s="10" t="s">
        <v>148</v>
      </c>
      <c r="G11" s="6" t="s">
        <v>149</v>
      </c>
      <c r="H11" s="32" t="s">
        <v>150</v>
      </c>
      <c r="I11" s="32" t="s">
        <v>151</v>
      </c>
      <c r="J11" s="24" t="s">
        <v>71</v>
      </c>
    </row>
    <row r="12" spans="1:12" ht="32" x14ac:dyDescent="0.45">
      <c r="A12" s="9" t="s">
        <v>152</v>
      </c>
      <c r="B12" s="10" t="s">
        <v>153</v>
      </c>
      <c r="C12" s="10" t="s">
        <v>154</v>
      </c>
      <c r="D12" s="10" t="s">
        <v>155</v>
      </c>
      <c r="E12" s="10" t="s">
        <v>156</v>
      </c>
      <c r="F12" s="10" t="s">
        <v>157</v>
      </c>
      <c r="G12" s="6" t="s">
        <v>158</v>
      </c>
      <c r="H12" s="32" t="s">
        <v>159</v>
      </c>
      <c r="I12" s="32" t="s">
        <v>160</v>
      </c>
      <c r="J12" s="27" t="s">
        <v>161</v>
      </c>
    </row>
    <row r="13" spans="1:12" x14ac:dyDescent="0.45">
      <c r="A13" s="11" t="s">
        <v>162</v>
      </c>
      <c r="B13" s="12" t="s">
        <v>163</v>
      </c>
      <c r="C13" s="12" t="s">
        <v>164</v>
      </c>
      <c r="D13" s="12" t="s">
        <v>165</v>
      </c>
      <c r="E13" s="6" t="s">
        <v>166</v>
      </c>
      <c r="F13" s="12" t="s">
        <v>167</v>
      </c>
      <c r="G13" s="12" t="s">
        <v>168</v>
      </c>
      <c r="H13" s="32" t="s">
        <v>169</v>
      </c>
      <c r="I13" s="32" t="s">
        <v>170</v>
      </c>
      <c r="J13" s="24" t="s">
        <v>71</v>
      </c>
    </row>
    <row r="14" spans="1:12" x14ac:dyDescent="0.45">
      <c r="A14" s="11" t="s">
        <v>171</v>
      </c>
      <c r="B14" s="12" t="s">
        <v>172</v>
      </c>
      <c r="C14" s="12" t="s">
        <v>173</v>
      </c>
      <c r="D14" s="12" t="s">
        <v>174</v>
      </c>
      <c r="E14" s="6" t="s">
        <v>175</v>
      </c>
      <c r="F14" s="12" t="s">
        <v>167</v>
      </c>
      <c r="G14" s="12" t="s">
        <v>176</v>
      </c>
      <c r="H14" s="32" t="s">
        <v>177</v>
      </c>
      <c r="I14" s="32" t="s">
        <v>178</v>
      </c>
      <c r="J14" s="24" t="s">
        <v>71</v>
      </c>
    </row>
    <row r="15" spans="1:12" x14ac:dyDescent="0.45">
      <c r="A15" s="11" t="s">
        <v>179</v>
      </c>
      <c r="B15" s="13" t="s">
        <v>71</v>
      </c>
      <c r="C15" s="12" t="s">
        <v>180</v>
      </c>
      <c r="D15" s="12" t="s">
        <v>181</v>
      </c>
      <c r="E15" s="6" t="s">
        <v>182</v>
      </c>
      <c r="F15" s="12" t="s">
        <v>183</v>
      </c>
      <c r="G15" s="12" t="s">
        <v>184</v>
      </c>
      <c r="H15" s="32" t="s">
        <v>185</v>
      </c>
      <c r="I15" s="32" t="s">
        <v>186</v>
      </c>
      <c r="J15" s="24" t="s">
        <v>71</v>
      </c>
    </row>
    <row r="16" spans="1:12" x14ac:dyDescent="0.45">
      <c r="A16" s="11" t="s">
        <v>187</v>
      </c>
      <c r="B16" s="13" t="s">
        <v>71</v>
      </c>
      <c r="C16" s="12" t="s">
        <v>188</v>
      </c>
      <c r="D16" s="12" t="s">
        <v>189</v>
      </c>
      <c r="E16" s="12" t="s">
        <v>190</v>
      </c>
      <c r="F16" s="6" t="s">
        <v>191</v>
      </c>
      <c r="G16" s="12" t="s">
        <v>192</v>
      </c>
      <c r="H16" s="32" t="s">
        <v>193</v>
      </c>
      <c r="I16" s="32" t="s">
        <v>194</v>
      </c>
      <c r="J16" s="24" t="s">
        <v>71</v>
      </c>
      <c r="L16">
        <f>280*3</f>
        <v>840</v>
      </c>
    </row>
    <row r="17" spans="1:11" x14ac:dyDescent="0.45">
      <c r="A17" s="11" t="s">
        <v>195</v>
      </c>
      <c r="B17" s="13" t="s">
        <v>71</v>
      </c>
      <c r="C17" s="12" t="s">
        <v>196</v>
      </c>
      <c r="D17" s="12" t="s">
        <v>197</v>
      </c>
      <c r="E17" s="13" t="s">
        <v>71</v>
      </c>
      <c r="F17" s="12" t="s">
        <v>198</v>
      </c>
      <c r="G17" s="6" t="s">
        <v>199</v>
      </c>
      <c r="H17" s="32" t="s">
        <v>197</v>
      </c>
      <c r="I17" s="32" t="s">
        <v>200</v>
      </c>
      <c r="J17" s="27" t="s">
        <v>94</v>
      </c>
    </row>
    <row r="19" spans="1:11" x14ac:dyDescent="0.45">
      <c r="A19" s="39" t="s">
        <v>201</v>
      </c>
      <c r="B19" s="40"/>
      <c r="C19" s="40"/>
      <c r="D19" s="40"/>
      <c r="E19" s="40"/>
      <c r="F19" s="40"/>
      <c r="G19" s="40"/>
      <c r="I19" s="41"/>
      <c r="J19" s="42" t="s">
        <v>71</v>
      </c>
      <c r="K19" s="41"/>
    </row>
    <row r="20" spans="1:11" x14ac:dyDescent="0.45">
      <c r="A20" s="39" t="s">
        <v>202</v>
      </c>
      <c r="B20" s="40"/>
      <c r="C20" s="40"/>
      <c r="D20" s="40"/>
      <c r="E20" s="40"/>
      <c r="F20" s="40"/>
      <c r="G20" s="40"/>
      <c r="I20" s="41"/>
      <c r="J20" s="42" t="s">
        <v>71</v>
      </c>
      <c r="K20" s="41"/>
    </row>
    <row r="21" spans="1:11" x14ac:dyDescent="0.45">
      <c r="A21" s="14" t="s">
        <v>203</v>
      </c>
      <c r="I21" s="41"/>
      <c r="J21" s="41"/>
      <c r="K21" s="41"/>
    </row>
    <row r="22" spans="1:11" x14ac:dyDescent="0.45">
      <c r="A22" s="15" t="s">
        <v>204</v>
      </c>
      <c r="I22" s="41"/>
      <c r="J22" s="42" t="s">
        <v>71</v>
      </c>
      <c r="K22" s="41"/>
    </row>
    <row r="23" spans="1:11" x14ac:dyDescent="0.45">
      <c r="A23" t="s">
        <v>566</v>
      </c>
    </row>
  </sheetData>
  <mergeCells count="2">
    <mergeCell ref="A20:G20"/>
    <mergeCell ref="A19:G19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E125"/>
  <sheetViews>
    <sheetView workbookViewId="0"/>
  </sheetViews>
  <sheetFormatPr defaultRowHeight="17" x14ac:dyDescent="0.45"/>
  <cols>
    <col min="1" max="1" width="20" customWidth="1"/>
    <col min="2" max="2" width="36" customWidth="1"/>
    <col min="3" max="3" width="8" customWidth="1"/>
    <col min="4" max="4" width="10" customWidth="1"/>
    <col min="5" max="5" width="12" customWidth="1"/>
    <col min="6" max="6" width="8" customWidth="1"/>
    <col min="7" max="7" width="7" customWidth="1"/>
    <col min="8" max="8" width="10" customWidth="1"/>
    <col min="9" max="9" width="5" customWidth="1"/>
    <col min="10" max="10" width="8" customWidth="1"/>
    <col min="11" max="11" width="30" customWidth="1"/>
    <col min="12" max="12" width="6" customWidth="1"/>
    <col min="13" max="14" width="8" customWidth="1"/>
    <col min="15" max="15" width="10" customWidth="1"/>
    <col min="16" max="16" width="14" customWidth="1"/>
    <col min="17" max="17" width="10" customWidth="1"/>
    <col min="18" max="18" width="6" customWidth="1"/>
    <col min="19" max="22" width="10" customWidth="1"/>
    <col min="23" max="26" width="8" customWidth="1"/>
    <col min="27" max="28" width="10" customWidth="1"/>
    <col min="29" max="29" width="12" customWidth="1"/>
    <col min="30" max="31" width="7" customWidth="1"/>
  </cols>
  <sheetData>
    <row r="1" spans="1:31" ht="35.15" customHeight="1" x14ac:dyDescent="0.45">
      <c r="A1" s="3" t="s">
        <v>205</v>
      </c>
      <c r="B1" s="3" t="s">
        <v>206</v>
      </c>
      <c r="C1" s="3" t="s">
        <v>207</v>
      </c>
      <c r="D1" s="3" t="s">
        <v>208</v>
      </c>
      <c r="E1" s="3" t="s">
        <v>209</v>
      </c>
      <c r="F1" s="3" t="s">
        <v>210</v>
      </c>
      <c r="G1" s="3" t="s">
        <v>211</v>
      </c>
      <c r="H1" s="3" t="s">
        <v>212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219</v>
      </c>
      <c r="P1" s="3" t="s">
        <v>220</v>
      </c>
      <c r="Q1" s="3" t="s">
        <v>221</v>
      </c>
      <c r="R1" s="3" t="s">
        <v>222</v>
      </c>
      <c r="S1" s="3" t="s">
        <v>223</v>
      </c>
      <c r="T1" s="3" t="s">
        <v>224</v>
      </c>
      <c r="U1" s="3" t="s">
        <v>225</v>
      </c>
      <c r="V1" s="3" t="s">
        <v>226</v>
      </c>
      <c r="W1" s="3" t="s">
        <v>227</v>
      </c>
      <c r="X1" s="3" t="s">
        <v>228</v>
      </c>
      <c r="Y1" s="3" t="s">
        <v>229</v>
      </c>
      <c r="Z1" s="3" t="s">
        <v>230</v>
      </c>
      <c r="AA1" s="3" t="s">
        <v>231</v>
      </c>
      <c r="AB1" s="3" t="s">
        <v>232</v>
      </c>
      <c r="AC1" s="3" t="s">
        <v>233</v>
      </c>
      <c r="AD1" s="3" t="s">
        <v>234</v>
      </c>
      <c r="AE1" s="3" t="s">
        <v>235</v>
      </c>
    </row>
    <row r="2" spans="1:31" x14ac:dyDescent="0.45">
      <c r="A2" s="16" t="s">
        <v>236</v>
      </c>
      <c r="B2" s="16" t="s">
        <v>237</v>
      </c>
      <c r="C2" s="16" t="s">
        <v>238</v>
      </c>
      <c r="D2" s="16" t="s">
        <v>239</v>
      </c>
      <c r="E2" s="17" t="s">
        <v>240</v>
      </c>
      <c r="F2" s="17" t="s">
        <v>241</v>
      </c>
      <c r="G2" s="17" t="s">
        <v>206</v>
      </c>
      <c r="H2" s="17" t="s">
        <v>242</v>
      </c>
      <c r="I2" s="17" t="s">
        <v>243</v>
      </c>
      <c r="J2" s="17" t="s">
        <v>71</v>
      </c>
      <c r="K2" s="17" t="s">
        <v>244</v>
      </c>
      <c r="L2" s="17">
        <v>200</v>
      </c>
      <c r="M2" s="17">
        <v>430.4</v>
      </c>
      <c r="N2" s="17">
        <v>129.1</v>
      </c>
      <c r="O2" s="17">
        <v>152.30000000000001</v>
      </c>
      <c r="P2" s="17" t="s">
        <v>245</v>
      </c>
      <c r="Q2" s="17">
        <v>2.6187800000000001</v>
      </c>
      <c r="R2" s="17">
        <v>4</v>
      </c>
      <c r="S2" s="17">
        <v>33.5</v>
      </c>
      <c r="T2" s="17">
        <v>100</v>
      </c>
      <c r="U2" s="17">
        <v>11497</v>
      </c>
      <c r="V2" s="17">
        <v>11759</v>
      </c>
      <c r="W2" s="17">
        <v>26.9</v>
      </c>
      <c r="X2" s="17">
        <v>39.1</v>
      </c>
      <c r="Y2" s="17">
        <v>30.3</v>
      </c>
      <c r="Z2" s="17">
        <v>32.799999999999997</v>
      </c>
      <c r="AA2" s="17">
        <v>1.5</v>
      </c>
      <c r="AB2" s="17">
        <v>0.1</v>
      </c>
      <c r="AC2" s="17" t="s">
        <v>246</v>
      </c>
      <c r="AD2" s="17">
        <v>0</v>
      </c>
      <c r="AE2" s="17">
        <v>0</v>
      </c>
    </row>
    <row r="3" spans="1:31" x14ac:dyDescent="0.45">
      <c r="A3" s="16" t="s">
        <v>236</v>
      </c>
      <c r="B3" s="16" t="s">
        <v>237</v>
      </c>
      <c r="C3" s="16" t="s">
        <v>238</v>
      </c>
      <c r="D3" s="16" t="s">
        <v>239</v>
      </c>
      <c r="E3" s="17" t="s">
        <v>240</v>
      </c>
      <c r="F3" s="17" t="s">
        <v>241</v>
      </c>
      <c r="G3" s="17" t="s">
        <v>206</v>
      </c>
      <c r="H3" s="17" t="s">
        <v>242</v>
      </c>
      <c r="I3" s="17" t="s">
        <v>247</v>
      </c>
      <c r="J3" s="17" t="s">
        <v>71</v>
      </c>
      <c r="K3" s="17" t="s">
        <v>244</v>
      </c>
      <c r="L3" s="17">
        <v>200</v>
      </c>
      <c r="M3" s="17">
        <v>430.4</v>
      </c>
      <c r="N3" s="17">
        <v>129.1</v>
      </c>
      <c r="O3" s="17">
        <v>297.52</v>
      </c>
      <c r="P3" s="17" t="s">
        <v>248</v>
      </c>
      <c r="Q3" s="17">
        <v>5.5425300000000002</v>
      </c>
      <c r="R3" s="17">
        <v>4</v>
      </c>
      <c r="S3" s="17">
        <v>47.2</v>
      </c>
      <c r="T3" s="17">
        <v>100</v>
      </c>
      <c r="U3" s="17">
        <v>11572</v>
      </c>
      <c r="V3" s="17">
        <v>13141</v>
      </c>
      <c r="W3" s="17">
        <v>18.899999999999999</v>
      </c>
      <c r="X3" s="17">
        <v>46.7</v>
      </c>
      <c r="Y3" s="17">
        <v>36.1</v>
      </c>
      <c r="Z3" s="17">
        <v>38.5</v>
      </c>
      <c r="AA3" s="17">
        <v>0</v>
      </c>
      <c r="AB3" s="17">
        <v>1</v>
      </c>
      <c r="AC3" s="17" t="s">
        <v>249</v>
      </c>
      <c r="AD3" s="17">
        <v>0</v>
      </c>
      <c r="AE3" s="17">
        <v>0</v>
      </c>
    </row>
    <row r="4" spans="1:31" x14ac:dyDescent="0.45">
      <c r="A4" s="16" t="s">
        <v>236</v>
      </c>
      <c r="B4" s="16" t="s">
        <v>237</v>
      </c>
      <c r="C4" s="16" t="s">
        <v>238</v>
      </c>
      <c r="D4" s="16" t="s">
        <v>239</v>
      </c>
      <c r="E4" s="17" t="s">
        <v>240</v>
      </c>
      <c r="F4" s="17" t="s">
        <v>241</v>
      </c>
      <c r="G4" s="17" t="s">
        <v>206</v>
      </c>
      <c r="H4" s="17" t="s">
        <v>250</v>
      </c>
      <c r="I4" s="17" t="s">
        <v>243</v>
      </c>
      <c r="J4" s="17" t="s">
        <v>71</v>
      </c>
      <c r="K4" s="17" t="s">
        <v>251</v>
      </c>
      <c r="L4" s="17">
        <v>400</v>
      </c>
      <c r="M4" s="17">
        <v>858.77</v>
      </c>
      <c r="N4" s="17">
        <v>128.80000000000001</v>
      </c>
      <c r="O4" s="17">
        <v>310.33999999999997</v>
      </c>
      <c r="P4" s="17" t="s">
        <v>252</v>
      </c>
      <c r="Q4" s="17">
        <v>6.3822299999999998</v>
      </c>
      <c r="R4" s="17">
        <v>210</v>
      </c>
      <c r="S4" s="17">
        <v>31.2</v>
      </c>
      <c r="T4" s="17">
        <v>100</v>
      </c>
      <c r="U4" s="17">
        <v>3857</v>
      </c>
      <c r="V4" s="17">
        <v>3857</v>
      </c>
      <c r="W4" s="17">
        <v>28.2</v>
      </c>
      <c r="X4" s="17">
        <v>61.8</v>
      </c>
      <c r="Y4" s="17">
        <v>39</v>
      </c>
      <c r="Z4" s="17">
        <v>39.200000000000003</v>
      </c>
      <c r="AA4" s="17">
        <v>0</v>
      </c>
      <c r="AB4" s="17">
        <v>0.2</v>
      </c>
      <c r="AC4" s="17" t="s">
        <v>253</v>
      </c>
      <c r="AD4" s="17">
        <v>0</v>
      </c>
      <c r="AE4" s="17">
        <v>0</v>
      </c>
    </row>
    <row r="5" spans="1:31" x14ac:dyDescent="0.45">
      <c r="A5" s="16" t="s">
        <v>236</v>
      </c>
      <c r="B5" s="16" t="s">
        <v>237</v>
      </c>
      <c r="C5" s="16" t="s">
        <v>238</v>
      </c>
      <c r="D5" s="16" t="s">
        <v>239</v>
      </c>
      <c r="E5" s="17" t="s">
        <v>240</v>
      </c>
      <c r="F5" s="17" t="s">
        <v>241</v>
      </c>
      <c r="G5" s="17" t="s">
        <v>206</v>
      </c>
      <c r="H5" s="17" t="s">
        <v>250</v>
      </c>
      <c r="I5" s="17" t="s">
        <v>243</v>
      </c>
      <c r="J5" s="17" t="s">
        <v>71</v>
      </c>
      <c r="K5" s="17" t="s">
        <v>254</v>
      </c>
      <c r="L5" s="17">
        <v>240</v>
      </c>
      <c r="M5" s="17">
        <v>226.23</v>
      </c>
      <c r="N5" s="17">
        <v>56.6</v>
      </c>
      <c r="O5" s="17">
        <v>99.23</v>
      </c>
      <c r="P5" s="17" t="s">
        <v>255</v>
      </c>
      <c r="Q5" s="17">
        <v>1.2670600000000001</v>
      </c>
      <c r="R5" s="17">
        <v>240</v>
      </c>
      <c r="S5" s="17">
        <v>29.8</v>
      </c>
      <c r="T5" s="17">
        <v>100</v>
      </c>
      <c r="U5" s="17">
        <v>3857</v>
      </c>
      <c r="V5" s="17">
        <v>3857</v>
      </c>
      <c r="W5" s="17">
        <v>26.8</v>
      </c>
      <c r="X5" s="17">
        <v>58.9</v>
      </c>
      <c r="Y5" s="17">
        <v>39</v>
      </c>
      <c r="Z5" s="17">
        <v>39.1</v>
      </c>
      <c r="AA5" s="17">
        <v>0</v>
      </c>
      <c r="AB5" s="17">
        <v>0.2</v>
      </c>
      <c r="AC5" s="17" t="s">
        <v>256</v>
      </c>
      <c r="AD5" s="17">
        <v>0</v>
      </c>
      <c r="AE5" s="17">
        <v>0</v>
      </c>
    </row>
    <row r="6" spans="1:31" x14ac:dyDescent="0.45">
      <c r="A6" s="16" t="s">
        <v>236</v>
      </c>
      <c r="B6" s="16" t="s">
        <v>237</v>
      </c>
      <c r="C6" s="16" t="s">
        <v>238</v>
      </c>
      <c r="D6" s="16" t="s">
        <v>239</v>
      </c>
      <c r="E6" s="17" t="s">
        <v>257</v>
      </c>
      <c r="F6" s="17" t="s">
        <v>258</v>
      </c>
      <c r="G6" s="17" t="s">
        <v>259</v>
      </c>
      <c r="H6" s="17" t="s">
        <v>250</v>
      </c>
      <c r="I6" s="17" t="s">
        <v>243</v>
      </c>
      <c r="J6" s="17" t="s">
        <v>260</v>
      </c>
      <c r="K6" s="17" t="s">
        <v>251</v>
      </c>
      <c r="L6" s="17">
        <v>75</v>
      </c>
      <c r="M6" s="17">
        <v>160.65</v>
      </c>
      <c r="N6" s="17">
        <v>128.5</v>
      </c>
      <c r="O6" s="17">
        <v>418.8</v>
      </c>
      <c r="P6" s="17" t="s">
        <v>261</v>
      </c>
      <c r="Q6" s="17">
        <v>3.9383699999999999</v>
      </c>
      <c r="R6" s="17">
        <v>33</v>
      </c>
      <c r="S6" s="17">
        <v>0</v>
      </c>
      <c r="T6" s="17">
        <v>0</v>
      </c>
      <c r="U6" s="17">
        <v>597</v>
      </c>
      <c r="V6" s="17">
        <v>597</v>
      </c>
      <c r="W6" s="17">
        <v>33</v>
      </c>
      <c r="X6" s="17">
        <v>63.6</v>
      </c>
      <c r="Y6" s="17">
        <v>33.799999999999997</v>
      </c>
      <c r="Z6" s="17">
        <v>33.799999999999997</v>
      </c>
      <c r="AA6" s="17">
        <v>0</v>
      </c>
      <c r="AB6" s="17">
        <v>1.8</v>
      </c>
      <c r="AC6" s="17" t="s">
        <v>262</v>
      </c>
      <c r="AD6" s="17">
        <v>0</v>
      </c>
      <c r="AE6" s="17">
        <v>0</v>
      </c>
    </row>
    <row r="7" spans="1:31" x14ac:dyDescent="0.45">
      <c r="A7" s="16" t="s">
        <v>236</v>
      </c>
      <c r="B7" s="16" t="s">
        <v>237</v>
      </c>
      <c r="C7" s="16" t="s">
        <v>238</v>
      </c>
      <c r="D7" s="16" t="s">
        <v>239</v>
      </c>
      <c r="E7" s="17" t="s">
        <v>257</v>
      </c>
      <c r="F7" s="17" t="s">
        <v>258</v>
      </c>
      <c r="G7" s="17" t="s">
        <v>259</v>
      </c>
      <c r="H7" s="17" t="s">
        <v>250</v>
      </c>
      <c r="I7" s="17" t="s">
        <v>243</v>
      </c>
      <c r="J7" s="17" t="s">
        <v>260</v>
      </c>
      <c r="K7" s="17" t="s">
        <v>254</v>
      </c>
      <c r="L7" s="17">
        <v>160</v>
      </c>
      <c r="M7" s="17">
        <v>147.84</v>
      </c>
      <c r="N7" s="17">
        <v>55.4</v>
      </c>
      <c r="O7" s="17">
        <v>377.34</v>
      </c>
      <c r="P7" s="17" t="s">
        <v>263</v>
      </c>
      <c r="Q7" s="17">
        <v>2.4998399999999998</v>
      </c>
      <c r="R7" s="17">
        <v>30</v>
      </c>
      <c r="S7" s="17">
        <v>0</v>
      </c>
      <c r="T7" s="17">
        <v>0</v>
      </c>
      <c r="U7" s="17">
        <v>597</v>
      </c>
      <c r="V7" s="17">
        <v>597</v>
      </c>
      <c r="W7" s="17">
        <v>37.299999999999997</v>
      </c>
      <c r="X7" s="17">
        <v>57.6</v>
      </c>
      <c r="Y7" s="17">
        <v>27.2</v>
      </c>
      <c r="Z7" s="17">
        <v>27.3</v>
      </c>
      <c r="AA7" s="17">
        <v>0</v>
      </c>
      <c r="AB7" s="17">
        <v>1.8</v>
      </c>
      <c r="AC7" s="17" t="s">
        <v>264</v>
      </c>
      <c r="AD7" s="17">
        <v>0</v>
      </c>
      <c r="AE7" s="17">
        <v>0</v>
      </c>
    </row>
    <row r="8" spans="1:31" x14ac:dyDescent="0.45">
      <c r="A8" s="16" t="s">
        <v>236</v>
      </c>
      <c r="B8" s="16" t="s">
        <v>237</v>
      </c>
      <c r="C8" s="16" t="s">
        <v>238</v>
      </c>
      <c r="D8" s="16" t="s">
        <v>239</v>
      </c>
      <c r="E8" s="17" t="s">
        <v>257</v>
      </c>
      <c r="F8" s="17" t="s">
        <v>258</v>
      </c>
      <c r="G8" s="17" t="s">
        <v>206</v>
      </c>
      <c r="H8" s="17" t="s">
        <v>250</v>
      </c>
      <c r="I8" s="17" t="s">
        <v>243</v>
      </c>
      <c r="J8" s="17" t="s">
        <v>260</v>
      </c>
      <c r="K8" s="17" t="s">
        <v>251</v>
      </c>
      <c r="L8" s="17">
        <v>75</v>
      </c>
      <c r="M8" s="17">
        <v>160.65</v>
      </c>
      <c r="N8" s="17">
        <v>128.5</v>
      </c>
      <c r="O8" s="17">
        <v>144.24</v>
      </c>
      <c r="P8" s="17" t="s">
        <v>265</v>
      </c>
      <c r="Q8" s="17">
        <v>1.69051</v>
      </c>
      <c r="R8" s="17">
        <v>75</v>
      </c>
      <c r="S8" s="17">
        <v>97.5</v>
      </c>
      <c r="T8" s="17">
        <v>100</v>
      </c>
      <c r="U8" s="17">
        <v>3157</v>
      </c>
      <c r="V8" s="17">
        <v>3157</v>
      </c>
      <c r="W8" s="17">
        <v>41.3</v>
      </c>
      <c r="X8" s="17">
        <v>56.1</v>
      </c>
      <c r="Y8" s="17">
        <v>36.1</v>
      </c>
      <c r="Z8" s="17">
        <v>36.200000000000003</v>
      </c>
      <c r="AA8" s="17">
        <v>0</v>
      </c>
      <c r="AB8" s="17">
        <v>2.2000000000000002</v>
      </c>
      <c r="AC8" s="17" t="s">
        <v>266</v>
      </c>
      <c r="AD8" s="17">
        <v>0</v>
      </c>
      <c r="AE8" s="17">
        <v>0</v>
      </c>
    </row>
    <row r="9" spans="1:31" x14ac:dyDescent="0.45">
      <c r="A9" s="16" t="s">
        <v>236</v>
      </c>
      <c r="B9" s="16" t="s">
        <v>237</v>
      </c>
      <c r="C9" s="16" t="s">
        <v>238</v>
      </c>
      <c r="D9" s="16" t="s">
        <v>239</v>
      </c>
      <c r="E9" s="17" t="s">
        <v>257</v>
      </c>
      <c r="F9" s="17" t="s">
        <v>258</v>
      </c>
      <c r="G9" s="17" t="s">
        <v>206</v>
      </c>
      <c r="H9" s="17" t="s">
        <v>250</v>
      </c>
      <c r="I9" s="17" t="s">
        <v>243</v>
      </c>
      <c r="J9" s="17" t="s">
        <v>260</v>
      </c>
      <c r="K9" s="17" t="s">
        <v>254</v>
      </c>
      <c r="L9" s="17">
        <v>160</v>
      </c>
      <c r="M9" s="17">
        <v>148.04</v>
      </c>
      <c r="N9" s="17">
        <v>55.5</v>
      </c>
      <c r="O9" s="17">
        <v>198.93</v>
      </c>
      <c r="P9" s="17" t="s">
        <v>267</v>
      </c>
      <c r="Q9" s="17">
        <v>2.1828099999999999</v>
      </c>
      <c r="R9" s="17">
        <v>75</v>
      </c>
      <c r="S9" s="17">
        <v>69.900000000000006</v>
      </c>
      <c r="T9" s="17">
        <v>100</v>
      </c>
      <c r="U9" s="17">
        <v>3157</v>
      </c>
      <c r="V9" s="17">
        <v>3157</v>
      </c>
      <c r="W9" s="17">
        <v>33.5</v>
      </c>
      <c r="X9" s="17">
        <v>58.7</v>
      </c>
      <c r="Y9" s="17">
        <v>30.8</v>
      </c>
      <c r="Z9" s="17">
        <v>30.9</v>
      </c>
      <c r="AA9" s="17">
        <v>0</v>
      </c>
      <c r="AB9" s="17">
        <v>2</v>
      </c>
      <c r="AC9" s="17" t="s">
        <v>268</v>
      </c>
      <c r="AD9" s="17">
        <v>0</v>
      </c>
      <c r="AE9" s="17">
        <v>0</v>
      </c>
    </row>
    <row r="10" spans="1:31" x14ac:dyDescent="0.45">
      <c r="A10" s="16" t="s">
        <v>236</v>
      </c>
      <c r="B10" s="16" t="s">
        <v>237</v>
      </c>
      <c r="C10" s="16" t="s">
        <v>238</v>
      </c>
      <c r="D10" s="16" t="s">
        <v>239</v>
      </c>
      <c r="E10" s="17" t="s">
        <v>257</v>
      </c>
      <c r="F10" s="17" t="s">
        <v>269</v>
      </c>
      <c r="G10" s="17" t="s">
        <v>206</v>
      </c>
      <c r="H10" s="17" t="s">
        <v>250</v>
      </c>
      <c r="I10" s="17" t="s">
        <v>243</v>
      </c>
      <c r="J10" s="17" t="s">
        <v>270</v>
      </c>
      <c r="K10" s="17" t="s">
        <v>251</v>
      </c>
      <c r="L10" s="17">
        <v>200</v>
      </c>
      <c r="M10" s="17">
        <v>428.8</v>
      </c>
      <c r="N10" s="17">
        <v>128.6</v>
      </c>
      <c r="O10" s="17">
        <v>433.84</v>
      </c>
      <c r="P10" s="17" t="s">
        <v>271</v>
      </c>
      <c r="Q10" s="17">
        <v>6.4376499999999997</v>
      </c>
      <c r="R10" s="17">
        <v>90</v>
      </c>
      <c r="S10" s="17">
        <v>74.5</v>
      </c>
      <c r="T10" s="17">
        <v>100</v>
      </c>
      <c r="U10" s="17">
        <v>2563</v>
      </c>
      <c r="V10" s="17">
        <v>2563</v>
      </c>
      <c r="W10" s="17">
        <v>37.1</v>
      </c>
      <c r="X10" s="17">
        <v>70.7</v>
      </c>
      <c r="Y10" s="17">
        <v>30.8</v>
      </c>
      <c r="Z10" s="17">
        <v>31</v>
      </c>
      <c r="AA10" s="17">
        <v>0</v>
      </c>
      <c r="AB10" s="17">
        <v>1.9</v>
      </c>
      <c r="AC10" s="17" t="s">
        <v>272</v>
      </c>
      <c r="AD10" s="17">
        <v>0</v>
      </c>
      <c r="AE10" s="17">
        <v>0</v>
      </c>
    </row>
    <row r="11" spans="1:31" x14ac:dyDescent="0.45">
      <c r="A11" s="16" t="s">
        <v>236</v>
      </c>
      <c r="B11" s="16" t="s">
        <v>237</v>
      </c>
      <c r="C11" s="16" t="s">
        <v>238</v>
      </c>
      <c r="D11" s="16" t="s">
        <v>239</v>
      </c>
      <c r="E11" s="17" t="s">
        <v>257</v>
      </c>
      <c r="F11" s="17" t="s">
        <v>269</v>
      </c>
      <c r="G11" s="17" t="s">
        <v>206</v>
      </c>
      <c r="H11" s="17" t="s">
        <v>250</v>
      </c>
      <c r="I11" s="17" t="s">
        <v>243</v>
      </c>
      <c r="J11" s="17" t="s">
        <v>273</v>
      </c>
      <c r="K11" s="17" t="s">
        <v>251</v>
      </c>
      <c r="L11" s="17">
        <v>200</v>
      </c>
      <c r="M11" s="17">
        <v>428.83</v>
      </c>
      <c r="N11" s="17">
        <v>128.6</v>
      </c>
      <c r="O11" s="17">
        <v>291.11</v>
      </c>
      <c r="P11" s="17" t="s">
        <v>274</v>
      </c>
      <c r="Q11" s="17">
        <v>1.40859</v>
      </c>
      <c r="R11" s="17">
        <v>120</v>
      </c>
      <c r="S11" s="17">
        <v>73.900000000000006</v>
      </c>
      <c r="T11" s="17">
        <v>100</v>
      </c>
      <c r="U11" s="17">
        <v>2563</v>
      </c>
      <c r="V11" s="17">
        <v>2563</v>
      </c>
      <c r="W11" s="17">
        <v>40.5</v>
      </c>
      <c r="X11" s="17">
        <v>59.4</v>
      </c>
      <c r="Y11" s="17">
        <v>31.4</v>
      </c>
      <c r="Z11" s="17">
        <v>31.6</v>
      </c>
      <c r="AA11" s="17">
        <v>0</v>
      </c>
      <c r="AB11" s="17">
        <v>2.4</v>
      </c>
      <c r="AC11" s="17" t="s">
        <v>275</v>
      </c>
      <c r="AD11" s="17">
        <v>0</v>
      </c>
      <c r="AE11" s="17">
        <v>0</v>
      </c>
    </row>
    <row r="12" spans="1:31" x14ac:dyDescent="0.45">
      <c r="A12" s="16" t="s">
        <v>236</v>
      </c>
      <c r="B12" s="16" t="s">
        <v>237</v>
      </c>
      <c r="C12" s="16" t="s">
        <v>238</v>
      </c>
      <c r="D12" s="16" t="s">
        <v>239</v>
      </c>
      <c r="E12" s="17" t="s">
        <v>276</v>
      </c>
      <c r="F12" s="17" t="s">
        <v>269</v>
      </c>
      <c r="G12" s="17" t="s">
        <v>206</v>
      </c>
      <c r="H12" s="17" t="s">
        <v>242</v>
      </c>
      <c r="I12" s="17" t="s">
        <v>243</v>
      </c>
      <c r="J12" s="17" t="s">
        <v>71</v>
      </c>
      <c r="K12" s="17" t="s">
        <v>277</v>
      </c>
      <c r="L12" s="17">
        <v>4</v>
      </c>
      <c r="M12" s="17">
        <v>5.56</v>
      </c>
      <c r="N12" s="17">
        <v>83.4</v>
      </c>
      <c r="O12" s="17">
        <v>22.47</v>
      </c>
      <c r="P12" s="17" t="s">
        <v>278</v>
      </c>
      <c r="Q12" s="17">
        <v>0</v>
      </c>
      <c r="R12" s="17">
        <v>4</v>
      </c>
      <c r="S12" s="17">
        <v>90</v>
      </c>
      <c r="T12" s="17">
        <v>100</v>
      </c>
      <c r="U12" s="17">
        <v>8000</v>
      </c>
      <c r="V12" s="17">
        <v>10863</v>
      </c>
      <c r="W12" s="17">
        <v>25</v>
      </c>
      <c r="X12" s="17">
        <v>50</v>
      </c>
      <c r="Y12" s="17">
        <v>28</v>
      </c>
      <c r="Z12" s="17">
        <v>33</v>
      </c>
      <c r="AA12" s="17">
        <v>1</v>
      </c>
      <c r="AB12" s="17">
        <v>0.5</v>
      </c>
      <c r="AC12" s="17" t="s">
        <v>279</v>
      </c>
      <c r="AD12" s="17">
        <v>0</v>
      </c>
      <c r="AE12" s="17">
        <v>0</v>
      </c>
    </row>
    <row r="13" spans="1:31" x14ac:dyDescent="0.45">
      <c r="A13" s="16" t="s">
        <v>236</v>
      </c>
      <c r="B13" s="16" t="s">
        <v>237</v>
      </c>
      <c r="C13" s="16" t="s">
        <v>238</v>
      </c>
      <c r="D13" s="16" t="s">
        <v>239</v>
      </c>
      <c r="E13" s="17" t="s">
        <v>276</v>
      </c>
      <c r="F13" s="17" t="s">
        <v>269</v>
      </c>
      <c r="G13" s="17" t="s">
        <v>206</v>
      </c>
      <c r="H13" s="17" t="s">
        <v>242</v>
      </c>
      <c r="I13" s="17" t="s">
        <v>247</v>
      </c>
      <c r="J13" s="17" t="s">
        <v>71</v>
      </c>
      <c r="K13" s="17" t="s">
        <v>277</v>
      </c>
      <c r="L13" s="17">
        <v>4</v>
      </c>
      <c r="M13" s="17">
        <v>5.56</v>
      </c>
      <c r="N13" s="17">
        <v>83.4</v>
      </c>
      <c r="O13" s="17">
        <v>24.61</v>
      </c>
      <c r="P13" s="17" t="s">
        <v>280</v>
      </c>
      <c r="Q13" s="17">
        <v>0</v>
      </c>
      <c r="R13" s="17">
        <v>4</v>
      </c>
      <c r="S13" s="17">
        <v>90</v>
      </c>
      <c r="T13" s="17">
        <v>100</v>
      </c>
      <c r="U13" s="17">
        <v>8000</v>
      </c>
      <c r="V13" s="17">
        <v>10863</v>
      </c>
      <c r="W13" s="17">
        <v>25</v>
      </c>
      <c r="X13" s="17">
        <v>50</v>
      </c>
      <c r="Y13" s="17">
        <v>28</v>
      </c>
      <c r="Z13" s="17">
        <v>33</v>
      </c>
      <c r="AA13" s="17">
        <v>1</v>
      </c>
      <c r="AB13" s="17">
        <v>0.5</v>
      </c>
      <c r="AC13" s="17" t="s">
        <v>279</v>
      </c>
      <c r="AD13" s="17">
        <v>0</v>
      </c>
      <c r="AE13" s="17">
        <v>0</v>
      </c>
    </row>
    <row r="14" spans="1:31" x14ac:dyDescent="0.45">
      <c r="A14" s="16" t="s">
        <v>236</v>
      </c>
      <c r="B14" s="16" t="s">
        <v>237</v>
      </c>
      <c r="C14" s="16" t="s">
        <v>238</v>
      </c>
      <c r="D14" s="16" t="s">
        <v>239</v>
      </c>
      <c r="E14" s="17" t="s">
        <v>276</v>
      </c>
      <c r="F14" s="17" t="s">
        <v>269</v>
      </c>
      <c r="G14" s="17" t="s">
        <v>206</v>
      </c>
      <c r="H14" s="17" t="s">
        <v>250</v>
      </c>
      <c r="I14" s="17" t="s">
        <v>243</v>
      </c>
      <c r="J14" s="17" t="s">
        <v>71</v>
      </c>
      <c r="K14" s="17" t="s">
        <v>277</v>
      </c>
      <c r="L14" s="17">
        <v>4</v>
      </c>
      <c r="M14" s="17">
        <v>5.33</v>
      </c>
      <c r="N14" s="17">
        <v>80</v>
      </c>
      <c r="O14" s="17">
        <v>177.47</v>
      </c>
      <c r="P14" s="17" t="s">
        <v>281</v>
      </c>
      <c r="Q14" s="17">
        <v>3.7993700000000001</v>
      </c>
      <c r="R14" s="17">
        <v>3</v>
      </c>
      <c r="S14" s="17">
        <v>41.6</v>
      </c>
      <c r="T14" s="17">
        <v>100</v>
      </c>
      <c r="U14" s="17">
        <v>10405</v>
      </c>
      <c r="V14" s="17">
        <v>10863</v>
      </c>
      <c r="W14" s="17">
        <v>15.9</v>
      </c>
      <c r="X14" s="17">
        <v>100</v>
      </c>
      <c r="Y14" s="17">
        <v>32.6</v>
      </c>
      <c r="Z14" s="17">
        <v>32.700000000000003</v>
      </c>
      <c r="AA14" s="17">
        <v>0</v>
      </c>
      <c r="AB14" s="17">
        <v>0</v>
      </c>
      <c r="AC14" s="17" t="s">
        <v>282</v>
      </c>
      <c r="AD14" s="17">
        <v>0</v>
      </c>
      <c r="AE14" s="17">
        <v>0</v>
      </c>
    </row>
    <row r="15" spans="1:31" x14ac:dyDescent="0.45">
      <c r="A15" s="18" t="s">
        <v>283</v>
      </c>
      <c r="B15" s="18" t="s">
        <v>284</v>
      </c>
      <c r="C15" s="18" t="s">
        <v>285</v>
      </c>
      <c r="D15" s="18" t="s">
        <v>286</v>
      </c>
      <c r="E15" s="19" t="s">
        <v>240</v>
      </c>
      <c r="F15" s="19" t="s">
        <v>241</v>
      </c>
      <c r="G15" s="19" t="s">
        <v>206</v>
      </c>
      <c r="H15" s="19" t="s">
        <v>242</v>
      </c>
      <c r="I15" s="19" t="s">
        <v>243</v>
      </c>
      <c r="J15" s="19" t="s">
        <v>71</v>
      </c>
      <c r="K15" s="19" t="s">
        <v>244</v>
      </c>
      <c r="L15" s="19">
        <v>200</v>
      </c>
      <c r="M15" s="19">
        <v>430.4</v>
      </c>
      <c r="N15" s="19">
        <v>129.1</v>
      </c>
      <c r="O15" s="19">
        <v>164.13</v>
      </c>
      <c r="P15" s="19" t="s">
        <v>287</v>
      </c>
      <c r="Q15" s="19">
        <v>2.8976500000000001</v>
      </c>
      <c r="R15" s="19">
        <v>4</v>
      </c>
      <c r="S15" s="19">
        <v>10.7</v>
      </c>
      <c r="T15" s="19">
        <v>100</v>
      </c>
      <c r="U15" s="19">
        <v>10091</v>
      </c>
      <c r="V15" s="19">
        <v>13425</v>
      </c>
      <c r="W15" s="19">
        <v>10.7</v>
      </c>
      <c r="X15" s="19">
        <v>18.5</v>
      </c>
      <c r="Y15" s="19">
        <v>20</v>
      </c>
      <c r="Z15" s="19">
        <v>23.5</v>
      </c>
      <c r="AA15" s="19">
        <v>1.4</v>
      </c>
      <c r="AB15" s="19">
        <v>0.2</v>
      </c>
      <c r="AC15" s="19" t="s">
        <v>288</v>
      </c>
      <c r="AD15" s="19">
        <v>0</v>
      </c>
      <c r="AE15" s="19">
        <v>0</v>
      </c>
    </row>
    <row r="16" spans="1:31" x14ac:dyDescent="0.45">
      <c r="A16" s="18" t="s">
        <v>283</v>
      </c>
      <c r="B16" s="18" t="s">
        <v>284</v>
      </c>
      <c r="C16" s="18" t="s">
        <v>285</v>
      </c>
      <c r="D16" s="18" t="s">
        <v>286</v>
      </c>
      <c r="E16" s="19" t="s">
        <v>240</v>
      </c>
      <c r="F16" s="19" t="s">
        <v>241</v>
      </c>
      <c r="G16" s="19" t="s">
        <v>206</v>
      </c>
      <c r="H16" s="19" t="s">
        <v>242</v>
      </c>
      <c r="I16" s="19" t="s">
        <v>247</v>
      </c>
      <c r="J16" s="19" t="s">
        <v>71</v>
      </c>
      <c r="K16" s="19" t="s">
        <v>244</v>
      </c>
      <c r="L16" s="19">
        <v>200</v>
      </c>
      <c r="M16" s="19">
        <v>430.4</v>
      </c>
      <c r="N16" s="19">
        <v>129.1</v>
      </c>
      <c r="O16" s="19">
        <v>267.41000000000003</v>
      </c>
      <c r="P16" s="19" t="s">
        <v>289</v>
      </c>
      <c r="Q16" s="19">
        <v>4.9741499999999998</v>
      </c>
      <c r="R16" s="19">
        <v>4</v>
      </c>
      <c r="S16" s="19">
        <v>21.9</v>
      </c>
      <c r="T16" s="19">
        <v>100</v>
      </c>
      <c r="U16" s="19">
        <v>13554</v>
      </c>
      <c r="V16" s="19">
        <v>14905</v>
      </c>
      <c r="W16" s="19">
        <v>7.5</v>
      </c>
      <c r="X16" s="19">
        <v>20.2</v>
      </c>
      <c r="Y16" s="19">
        <v>25.1</v>
      </c>
      <c r="Z16" s="19">
        <v>26.8</v>
      </c>
      <c r="AA16" s="19">
        <v>0</v>
      </c>
      <c r="AB16" s="19">
        <v>1.1000000000000001</v>
      </c>
      <c r="AC16" s="19" t="s">
        <v>290</v>
      </c>
      <c r="AD16" s="19">
        <v>0</v>
      </c>
      <c r="AE16" s="19">
        <v>0</v>
      </c>
    </row>
    <row r="17" spans="1:31" x14ac:dyDescent="0.45">
      <c r="A17" s="18" t="s">
        <v>283</v>
      </c>
      <c r="B17" s="18" t="s">
        <v>284</v>
      </c>
      <c r="C17" s="18" t="s">
        <v>285</v>
      </c>
      <c r="D17" s="18" t="s">
        <v>286</v>
      </c>
      <c r="E17" s="19" t="s">
        <v>240</v>
      </c>
      <c r="F17" s="19" t="s">
        <v>241</v>
      </c>
      <c r="G17" s="19" t="s">
        <v>206</v>
      </c>
      <c r="H17" s="19" t="s">
        <v>250</v>
      </c>
      <c r="I17" s="19" t="s">
        <v>243</v>
      </c>
      <c r="J17" s="19" t="s">
        <v>71</v>
      </c>
      <c r="K17" s="19" t="s">
        <v>251</v>
      </c>
      <c r="L17" s="19">
        <v>400</v>
      </c>
      <c r="M17" s="19">
        <v>857.64</v>
      </c>
      <c r="N17" s="19">
        <v>128.6</v>
      </c>
      <c r="O17" s="19">
        <v>318.97000000000003</v>
      </c>
      <c r="P17" s="19" t="s">
        <v>291</v>
      </c>
      <c r="Q17" s="19">
        <v>3.80125</v>
      </c>
      <c r="R17" s="19">
        <v>240</v>
      </c>
      <c r="S17" s="19">
        <v>17.7</v>
      </c>
      <c r="T17" s="19">
        <v>100</v>
      </c>
      <c r="U17" s="19">
        <v>13421</v>
      </c>
      <c r="V17" s="19">
        <v>13421</v>
      </c>
      <c r="W17" s="19">
        <v>12.7</v>
      </c>
      <c r="X17" s="19">
        <v>29.7</v>
      </c>
      <c r="Y17" s="19">
        <v>27.5</v>
      </c>
      <c r="Z17" s="19">
        <v>27.6</v>
      </c>
      <c r="AA17" s="19">
        <v>0</v>
      </c>
      <c r="AB17" s="19">
        <v>0.2</v>
      </c>
      <c r="AC17" s="19" t="s">
        <v>292</v>
      </c>
      <c r="AD17" s="19">
        <v>0</v>
      </c>
      <c r="AE17" s="19">
        <v>0</v>
      </c>
    </row>
    <row r="18" spans="1:31" x14ac:dyDescent="0.45">
      <c r="A18" s="18" t="s">
        <v>283</v>
      </c>
      <c r="B18" s="18" t="s">
        <v>284</v>
      </c>
      <c r="C18" s="18" t="s">
        <v>285</v>
      </c>
      <c r="D18" s="18" t="s">
        <v>286</v>
      </c>
      <c r="E18" s="19" t="s">
        <v>240</v>
      </c>
      <c r="F18" s="19" t="s">
        <v>241</v>
      </c>
      <c r="G18" s="19" t="s">
        <v>206</v>
      </c>
      <c r="H18" s="19" t="s">
        <v>250</v>
      </c>
      <c r="I18" s="19" t="s">
        <v>243</v>
      </c>
      <c r="J18" s="19" t="s">
        <v>71</v>
      </c>
      <c r="K18" s="19" t="s">
        <v>254</v>
      </c>
      <c r="L18" s="19">
        <v>320</v>
      </c>
      <c r="M18" s="19">
        <v>294.68</v>
      </c>
      <c r="N18" s="19">
        <v>55.3</v>
      </c>
      <c r="O18" s="19">
        <v>157.56</v>
      </c>
      <c r="P18" s="19" t="s">
        <v>293</v>
      </c>
      <c r="Q18" s="19">
        <v>1.36791</v>
      </c>
      <c r="R18" s="19">
        <v>250</v>
      </c>
      <c r="S18" s="19">
        <v>10.9</v>
      </c>
      <c r="T18" s="19">
        <v>100</v>
      </c>
      <c r="U18" s="19">
        <v>13421</v>
      </c>
      <c r="V18" s="19">
        <v>13421</v>
      </c>
      <c r="W18" s="19">
        <v>10</v>
      </c>
      <c r="X18" s="19">
        <v>33</v>
      </c>
      <c r="Y18" s="19">
        <v>27.5</v>
      </c>
      <c r="Z18" s="19">
        <v>27.6</v>
      </c>
      <c r="AA18" s="19">
        <v>0</v>
      </c>
      <c r="AB18" s="19">
        <v>0.1</v>
      </c>
      <c r="AC18" s="19" t="s">
        <v>294</v>
      </c>
      <c r="AD18" s="19">
        <v>0</v>
      </c>
      <c r="AE18" s="19">
        <v>0</v>
      </c>
    </row>
    <row r="19" spans="1:31" x14ac:dyDescent="0.45">
      <c r="A19" s="18" t="s">
        <v>283</v>
      </c>
      <c r="B19" s="18" t="s">
        <v>284</v>
      </c>
      <c r="C19" s="18" t="s">
        <v>285</v>
      </c>
      <c r="D19" s="18" t="s">
        <v>286</v>
      </c>
      <c r="E19" s="19" t="s">
        <v>257</v>
      </c>
      <c r="F19" s="19" t="s">
        <v>269</v>
      </c>
      <c r="G19" s="19" t="s">
        <v>259</v>
      </c>
      <c r="H19" s="19" t="s">
        <v>295</v>
      </c>
      <c r="I19" s="19" t="s">
        <v>243</v>
      </c>
      <c r="J19" s="19" t="s">
        <v>273</v>
      </c>
      <c r="K19" s="19" t="s">
        <v>244</v>
      </c>
      <c r="L19" s="19">
        <v>200</v>
      </c>
      <c r="M19" s="19">
        <v>428.83</v>
      </c>
      <c r="N19" s="19">
        <v>128.6</v>
      </c>
      <c r="O19" s="19">
        <v>843.09</v>
      </c>
      <c r="P19" s="19" t="s">
        <v>296</v>
      </c>
      <c r="Q19" s="19">
        <v>16.429549999999999</v>
      </c>
      <c r="R19" s="19">
        <v>4</v>
      </c>
      <c r="S19" s="19">
        <v>0</v>
      </c>
      <c r="T19" s="19">
        <v>0</v>
      </c>
      <c r="U19" s="19">
        <v>980</v>
      </c>
      <c r="V19" s="19">
        <v>980</v>
      </c>
      <c r="W19" s="19">
        <v>17.399999999999999</v>
      </c>
      <c r="X19" s="19">
        <v>29.5</v>
      </c>
      <c r="Y19" s="19">
        <v>20</v>
      </c>
      <c r="Z19" s="19">
        <v>20.399999999999999</v>
      </c>
      <c r="AA19" s="19">
        <v>0</v>
      </c>
      <c r="AB19" s="19">
        <v>0.9</v>
      </c>
      <c r="AC19" s="19" t="s">
        <v>297</v>
      </c>
      <c r="AD19" s="19">
        <v>0</v>
      </c>
      <c r="AE19" s="19">
        <v>0</v>
      </c>
    </row>
    <row r="20" spans="1:31" x14ac:dyDescent="0.45">
      <c r="A20" s="18" t="s">
        <v>283</v>
      </c>
      <c r="B20" s="18" t="s">
        <v>284</v>
      </c>
      <c r="C20" s="18" t="s">
        <v>285</v>
      </c>
      <c r="D20" s="18" t="s">
        <v>286</v>
      </c>
      <c r="E20" s="19" t="s">
        <v>257</v>
      </c>
      <c r="F20" s="19" t="s">
        <v>258</v>
      </c>
      <c r="G20" s="19" t="s">
        <v>259</v>
      </c>
      <c r="H20" s="19" t="s">
        <v>250</v>
      </c>
      <c r="I20" s="19" t="s">
        <v>243</v>
      </c>
      <c r="J20" s="19" t="s">
        <v>260</v>
      </c>
      <c r="K20" s="19" t="s">
        <v>251</v>
      </c>
      <c r="L20" s="19">
        <v>75</v>
      </c>
      <c r="M20" s="19">
        <v>160.65</v>
      </c>
      <c r="N20" s="19">
        <v>128.5</v>
      </c>
      <c r="O20" s="19">
        <v>297.36</v>
      </c>
      <c r="P20" s="19" t="s">
        <v>298</v>
      </c>
      <c r="Q20" s="19">
        <v>1.0819799999999999</v>
      </c>
      <c r="R20" s="19">
        <v>55</v>
      </c>
      <c r="S20" s="19">
        <v>0</v>
      </c>
      <c r="T20" s="19">
        <v>0</v>
      </c>
      <c r="U20" s="19">
        <v>980</v>
      </c>
      <c r="V20" s="19">
        <v>980</v>
      </c>
      <c r="W20" s="19">
        <v>24.3</v>
      </c>
      <c r="X20" s="19">
        <v>42.9</v>
      </c>
      <c r="Y20" s="19">
        <v>20.2</v>
      </c>
      <c r="Z20" s="19">
        <v>20.3</v>
      </c>
      <c r="AA20" s="19">
        <v>0</v>
      </c>
      <c r="AB20" s="19">
        <v>1.4</v>
      </c>
      <c r="AC20" s="19" t="s">
        <v>299</v>
      </c>
      <c r="AD20" s="19">
        <v>0</v>
      </c>
      <c r="AE20" s="19">
        <v>0</v>
      </c>
    </row>
    <row r="21" spans="1:31" x14ac:dyDescent="0.45">
      <c r="A21" s="18" t="s">
        <v>283</v>
      </c>
      <c r="B21" s="18" t="s">
        <v>284</v>
      </c>
      <c r="C21" s="18" t="s">
        <v>285</v>
      </c>
      <c r="D21" s="18" t="s">
        <v>286</v>
      </c>
      <c r="E21" s="19" t="s">
        <v>257</v>
      </c>
      <c r="F21" s="19" t="s">
        <v>258</v>
      </c>
      <c r="G21" s="19" t="s">
        <v>259</v>
      </c>
      <c r="H21" s="19" t="s">
        <v>250</v>
      </c>
      <c r="I21" s="19" t="s">
        <v>243</v>
      </c>
      <c r="J21" s="19" t="s">
        <v>260</v>
      </c>
      <c r="K21" s="19" t="s">
        <v>254</v>
      </c>
      <c r="L21" s="19">
        <v>80</v>
      </c>
      <c r="M21" s="19">
        <v>75.12</v>
      </c>
      <c r="N21" s="19">
        <v>56.3</v>
      </c>
      <c r="O21" s="19">
        <v>137.94999999999999</v>
      </c>
      <c r="P21" s="19" t="s">
        <v>300</v>
      </c>
      <c r="Q21" s="19">
        <v>1.99166</v>
      </c>
      <c r="R21" s="19">
        <v>60</v>
      </c>
      <c r="S21" s="19">
        <v>0</v>
      </c>
      <c r="T21" s="19">
        <v>0</v>
      </c>
      <c r="U21" s="19">
        <v>980</v>
      </c>
      <c r="V21" s="19">
        <v>980</v>
      </c>
      <c r="W21" s="19">
        <v>25.4</v>
      </c>
      <c r="X21" s="19">
        <v>42.1</v>
      </c>
      <c r="Y21" s="19">
        <v>20.3</v>
      </c>
      <c r="Z21" s="19">
        <v>20.3</v>
      </c>
      <c r="AA21" s="19">
        <v>0</v>
      </c>
      <c r="AB21" s="19">
        <v>1.5</v>
      </c>
      <c r="AC21" s="19" t="s">
        <v>301</v>
      </c>
      <c r="AD21" s="19">
        <v>0</v>
      </c>
      <c r="AE21" s="19">
        <v>0</v>
      </c>
    </row>
    <row r="22" spans="1:31" x14ac:dyDescent="0.45">
      <c r="A22" s="18" t="s">
        <v>283</v>
      </c>
      <c r="B22" s="18" t="s">
        <v>284</v>
      </c>
      <c r="C22" s="18" t="s">
        <v>285</v>
      </c>
      <c r="D22" s="18" t="s">
        <v>286</v>
      </c>
      <c r="E22" s="19" t="s">
        <v>257</v>
      </c>
      <c r="F22" s="19" t="s">
        <v>269</v>
      </c>
      <c r="G22" s="19" t="s">
        <v>259</v>
      </c>
      <c r="H22" s="19" t="s">
        <v>250</v>
      </c>
      <c r="I22" s="19" t="s">
        <v>243</v>
      </c>
      <c r="J22" s="19" t="s">
        <v>273</v>
      </c>
      <c r="K22" s="19" t="s">
        <v>251</v>
      </c>
      <c r="L22" s="19">
        <v>75</v>
      </c>
      <c r="M22" s="19">
        <v>160.65</v>
      </c>
      <c r="N22" s="19">
        <v>128.5</v>
      </c>
      <c r="O22" s="19">
        <v>297.89999999999998</v>
      </c>
      <c r="P22" s="19" t="s">
        <v>302</v>
      </c>
      <c r="Q22" s="19">
        <v>3.2823099999999998</v>
      </c>
      <c r="R22" s="19">
        <v>72</v>
      </c>
      <c r="S22" s="19">
        <v>0</v>
      </c>
      <c r="T22" s="19">
        <v>0</v>
      </c>
      <c r="U22" s="19">
        <v>980</v>
      </c>
      <c r="V22" s="19">
        <v>980</v>
      </c>
      <c r="W22" s="19">
        <v>20</v>
      </c>
      <c r="X22" s="19">
        <v>46.3</v>
      </c>
      <c r="Y22" s="19">
        <v>20.3</v>
      </c>
      <c r="Z22" s="19">
        <v>20.3</v>
      </c>
      <c r="AA22" s="19">
        <v>0</v>
      </c>
      <c r="AB22" s="19">
        <v>1</v>
      </c>
      <c r="AC22" s="19" t="s">
        <v>303</v>
      </c>
      <c r="AD22" s="19">
        <v>0</v>
      </c>
      <c r="AE22" s="19">
        <v>0</v>
      </c>
    </row>
    <row r="23" spans="1:31" x14ac:dyDescent="0.45">
      <c r="A23" s="18" t="s">
        <v>283</v>
      </c>
      <c r="B23" s="18" t="s">
        <v>284</v>
      </c>
      <c r="C23" s="18" t="s">
        <v>285</v>
      </c>
      <c r="D23" s="18" t="s">
        <v>286</v>
      </c>
      <c r="E23" s="19" t="s">
        <v>257</v>
      </c>
      <c r="F23" s="19" t="s">
        <v>269</v>
      </c>
      <c r="G23" s="19" t="s">
        <v>259</v>
      </c>
      <c r="H23" s="19" t="s">
        <v>250</v>
      </c>
      <c r="I23" s="19" t="s">
        <v>243</v>
      </c>
      <c r="J23" s="19" t="s">
        <v>273</v>
      </c>
      <c r="K23" s="19" t="s">
        <v>254</v>
      </c>
      <c r="L23" s="19">
        <v>80</v>
      </c>
      <c r="M23" s="19">
        <v>75.12</v>
      </c>
      <c r="N23" s="19">
        <v>56.3</v>
      </c>
      <c r="O23" s="19">
        <v>125.13</v>
      </c>
      <c r="P23" s="19" t="s">
        <v>304</v>
      </c>
      <c r="Q23" s="19">
        <v>2.0396399999999999</v>
      </c>
      <c r="R23" s="19">
        <v>75</v>
      </c>
      <c r="S23" s="19">
        <v>0</v>
      </c>
      <c r="T23" s="19">
        <v>0</v>
      </c>
      <c r="U23" s="19">
        <v>980</v>
      </c>
      <c r="V23" s="19">
        <v>980</v>
      </c>
      <c r="W23" s="19">
        <v>23</v>
      </c>
      <c r="X23" s="19">
        <v>45.2</v>
      </c>
      <c r="Y23" s="19">
        <v>20.2</v>
      </c>
      <c r="Z23" s="19">
        <v>20.3</v>
      </c>
      <c r="AA23" s="19">
        <v>0</v>
      </c>
      <c r="AB23" s="19">
        <v>1.4</v>
      </c>
      <c r="AC23" s="19" t="s">
        <v>305</v>
      </c>
      <c r="AD23" s="19">
        <v>0</v>
      </c>
      <c r="AE23" s="19">
        <v>0</v>
      </c>
    </row>
    <row r="24" spans="1:31" x14ac:dyDescent="0.45">
      <c r="A24" s="18" t="s">
        <v>283</v>
      </c>
      <c r="B24" s="18" t="s">
        <v>284</v>
      </c>
      <c r="C24" s="18" t="s">
        <v>285</v>
      </c>
      <c r="D24" s="18" t="s">
        <v>286</v>
      </c>
      <c r="E24" s="19" t="s">
        <v>257</v>
      </c>
      <c r="F24" s="19" t="s">
        <v>258</v>
      </c>
      <c r="G24" s="19" t="s">
        <v>206</v>
      </c>
      <c r="H24" s="19" t="s">
        <v>250</v>
      </c>
      <c r="I24" s="19" t="s">
        <v>243</v>
      </c>
      <c r="J24" s="19" t="s">
        <v>260</v>
      </c>
      <c r="K24" s="19" t="s">
        <v>251</v>
      </c>
      <c r="L24" s="19">
        <v>200</v>
      </c>
      <c r="M24" s="19">
        <v>428.83</v>
      </c>
      <c r="N24" s="19">
        <v>128.6</v>
      </c>
      <c r="O24" s="19">
        <v>464.69</v>
      </c>
      <c r="P24" s="19" t="s">
        <v>306</v>
      </c>
      <c r="Q24" s="19">
        <v>1.00983</v>
      </c>
      <c r="R24" s="19">
        <v>90</v>
      </c>
      <c r="S24" s="19">
        <v>63.4</v>
      </c>
      <c r="T24" s="19">
        <v>99</v>
      </c>
      <c r="U24" s="19">
        <v>4265</v>
      </c>
      <c r="V24" s="19">
        <v>4265</v>
      </c>
      <c r="W24" s="19">
        <v>16.899999999999999</v>
      </c>
      <c r="X24" s="19">
        <v>29.6</v>
      </c>
      <c r="Y24" s="19">
        <v>20.2</v>
      </c>
      <c r="Z24" s="19">
        <v>20.3</v>
      </c>
      <c r="AA24" s="19">
        <v>0</v>
      </c>
      <c r="AB24" s="19">
        <v>1.7</v>
      </c>
      <c r="AC24" s="19" t="s">
        <v>307</v>
      </c>
      <c r="AD24" s="19">
        <v>0</v>
      </c>
      <c r="AE24" s="19">
        <v>0</v>
      </c>
    </row>
    <row r="25" spans="1:31" x14ac:dyDescent="0.45">
      <c r="A25" s="18" t="s">
        <v>283</v>
      </c>
      <c r="B25" s="18" t="s">
        <v>284</v>
      </c>
      <c r="C25" s="18" t="s">
        <v>285</v>
      </c>
      <c r="D25" s="18" t="s">
        <v>286</v>
      </c>
      <c r="E25" s="19" t="s">
        <v>257</v>
      </c>
      <c r="F25" s="19" t="s">
        <v>258</v>
      </c>
      <c r="G25" s="19" t="s">
        <v>206</v>
      </c>
      <c r="H25" s="19" t="s">
        <v>250</v>
      </c>
      <c r="I25" s="19" t="s">
        <v>243</v>
      </c>
      <c r="J25" s="19" t="s">
        <v>260</v>
      </c>
      <c r="K25" s="19" t="s">
        <v>254</v>
      </c>
      <c r="L25" s="19">
        <v>160</v>
      </c>
      <c r="M25" s="19">
        <v>150.36000000000001</v>
      </c>
      <c r="N25" s="19">
        <v>56.4</v>
      </c>
      <c r="O25" s="19">
        <v>181.11</v>
      </c>
      <c r="P25" s="19" t="s">
        <v>308</v>
      </c>
      <c r="Q25" s="19">
        <v>1.0184800000000001</v>
      </c>
      <c r="R25" s="19">
        <v>90</v>
      </c>
      <c r="S25" s="19">
        <v>56.7</v>
      </c>
      <c r="T25" s="19">
        <v>99</v>
      </c>
      <c r="U25" s="19">
        <v>4265</v>
      </c>
      <c r="V25" s="19">
        <v>4265</v>
      </c>
      <c r="W25" s="19">
        <v>16.2</v>
      </c>
      <c r="X25" s="19">
        <v>28.6</v>
      </c>
      <c r="Y25" s="19">
        <v>20.2</v>
      </c>
      <c r="Z25" s="19">
        <v>20.3</v>
      </c>
      <c r="AA25" s="19">
        <v>0</v>
      </c>
      <c r="AB25" s="19">
        <v>1.8</v>
      </c>
      <c r="AC25" s="19" t="s">
        <v>309</v>
      </c>
      <c r="AD25" s="19">
        <v>0</v>
      </c>
      <c r="AE25" s="19">
        <v>0</v>
      </c>
    </row>
    <row r="26" spans="1:31" x14ac:dyDescent="0.45">
      <c r="A26" s="18" t="s">
        <v>283</v>
      </c>
      <c r="B26" s="18" t="s">
        <v>284</v>
      </c>
      <c r="C26" s="18" t="s">
        <v>285</v>
      </c>
      <c r="D26" s="18" t="s">
        <v>286</v>
      </c>
      <c r="E26" s="19" t="s">
        <v>257</v>
      </c>
      <c r="F26" s="19" t="s">
        <v>269</v>
      </c>
      <c r="G26" s="19" t="s">
        <v>206</v>
      </c>
      <c r="H26" s="19" t="s">
        <v>250</v>
      </c>
      <c r="I26" s="19" t="s">
        <v>243</v>
      </c>
      <c r="J26" s="19" t="s">
        <v>270</v>
      </c>
      <c r="K26" s="19" t="s">
        <v>251</v>
      </c>
      <c r="L26" s="19">
        <v>200</v>
      </c>
      <c r="M26" s="19">
        <v>428.8</v>
      </c>
      <c r="N26" s="19">
        <v>128.6</v>
      </c>
      <c r="O26" s="19">
        <v>321.72000000000003</v>
      </c>
      <c r="P26" s="19" t="s">
        <v>310</v>
      </c>
      <c r="Q26" s="19">
        <v>5.0108499999999996</v>
      </c>
      <c r="R26" s="19">
        <v>135</v>
      </c>
      <c r="S26" s="19">
        <v>70.599999999999994</v>
      </c>
      <c r="T26" s="19">
        <v>99</v>
      </c>
      <c r="U26" s="19">
        <v>4265</v>
      </c>
      <c r="V26" s="19">
        <v>4265</v>
      </c>
      <c r="W26" s="19">
        <v>19.5</v>
      </c>
      <c r="X26" s="19">
        <v>31.9</v>
      </c>
      <c r="Y26" s="19">
        <v>20.3</v>
      </c>
      <c r="Z26" s="19">
        <v>20.399999999999999</v>
      </c>
      <c r="AA26" s="19">
        <v>0</v>
      </c>
      <c r="AB26" s="19">
        <v>1.9</v>
      </c>
      <c r="AC26" s="19" t="s">
        <v>311</v>
      </c>
      <c r="AD26" s="19">
        <v>0</v>
      </c>
      <c r="AE26" s="19">
        <v>0</v>
      </c>
    </row>
    <row r="27" spans="1:31" x14ac:dyDescent="0.45">
      <c r="A27" s="18" t="s">
        <v>283</v>
      </c>
      <c r="B27" s="18" t="s">
        <v>284</v>
      </c>
      <c r="C27" s="18" t="s">
        <v>285</v>
      </c>
      <c r="D27" s="18" t="s">
        <v>286</v>
      </c>
      <c r="E27" s="19" t="s">
        <v>257</v>
      </c>
      <c r="F27" s="19" t="s">
        <v>269</v>
      </c>
      <c r="G27" s="19" t="s">
        <v>206</v>
      </c>
      <c r="H27" s="19" t="s">
        <v>250</v>
      </c>
      <c r="I27" s="19" t="s">
        <v>243</v>
      </c>
      <c r="J27" s="19" t="s">
        <v>273</v>
      </c>
      <c r="K27" s="19" t="s">
        <v>251</v>
      </c>
      <c r="L27" s="19">
        <v>200</v>
      </c>
      <c r="M27" s="19">
        <v>428.83</v>
      </c>
      <c r="N27" s="19">
        <v>128.6</v>
      </c>
      <c r="O27" s="19">
        <v>314.25</v>
      </c>
      <c r="P27" s="19" t="s">
        <v>312</v>
      </c>
      <c r="Q27" s="19">
        <v>6.0331299999999999</v>
      </c>
      <c r="R27" s="19">
        <v>185</v>
      </c>
      <c r="S27" s="19">
        <v>47.8</v>
      </c>
      <c r="T27" s="19">
        <v>99</v>
      </c>
      <c r="U27" s="19">
        <v>4265</v>
      </c>
      <c r="V27" s="19">
        <v>4265</v>
      </c>
      <c r="W27" s="19">
        <v>15</v>
      </c>
      <c r="X27" s="19">
        <v>35</v>
      </c>
      <c r="Y27" s="19">
        <v>20.7</v>
      </c>
      <c r="Z27" s="19">
        <v>20.9</v>
      </c>
      <c r="AA27" s="19">
        <v>0</v>
      </c>
      <c r="AB27" s="19">
        <v>1.3</v>
      </c>
      <c r="AC27" s="19" t="s">
        <v>313</v>
      </c>
      <c r="AD27" s="19">
        <v>0</v>
      </c>
      <c r="AE27" s="19">
        <v>0</v>
      </c>
    </row>
    <row r="28" spans="1:31" x14ac:dyDescent="0.45">
      <c r="A28" s="18" t="s">
        <v>283</v>
      </c>
      <c r="B28" s="18" t="s">
        <v>284</v>
      </c>
      <c r="C28" s="18" t="s">
        <v>285</v>
      </c>
      <c r="D28" s="18" t="s">
        <v>286</v>
      </c>
      <c r="E28" s="19" t="s">
        <v>276</v>
      </c>
      <c r="F28" s="19" t="s">
        <v>269</v>
      </c>
      <c r="G28" s="19" t="s">
        <v>206</v>
      </c>
      <c r="H28" s="19" t="s">
        <v>242</v>
      </c>
      <c r="I28" s="19" t="s">
        <v>243</v>
      </c>
      <c r="J28" s="19" t="s">
        <v>71</v>
      </c>
      <c r="K28" s="19" t="s">
        <v>277</v>
      </c>
      <c r="L28" s="19">
        <v>4</v>
      </c>
      <c r="M28" s="19">
        <v>5.56</v>
      </c>
      <c r="N28" s="19">
        <v>83.4</v>
      </c>
      <c r="O28" s="19">
        <v>16.5</v>
      </c>
      <c r="P28" s="19" t="s">
        <v>314</v>
      </c>
      <c r="Q28" s="19">
        <v>0</v>
      </c>
      <c r="R28" s="19">
        <v>4</v>
      </c>
      <c r="S28" s="19">
        <v>71.8</v>
      </c>
      <c r="T28" s="19">
        <v>100</v>
      </c>
      <c r="U28" s="19">
        <v>10633</v>
      </c>
      <c r="V28" s="19">
        <v>11343</v>
      </c>
      <c r="W28" s="19">
        <v>25.2</v>
      </c>
      <c r="X28" s="19">
        <v>100</v>
      </c>
      <c r="Y28" s="19">
        <v>16.5</v>
      </c>
      <c r="Z28" s="19">
        <v>16.5</v>
      </c>
      <c r="AA28" s="19">
        <v>5</v>
      </c>
      <c r="AB28" s="19">
        <v>1.6</v>
      </c>
      <c r="AC28" s="19" t="s">
        <v>315</v>
      </c>
      <c r="AD28" s="19">
        <v>0</v>
      </c>
      <c r="AE28" s="19">
        <v>0</v>
      </c>
    </row>
    <row r="29" spans="1:31" x14ac:dyDescent="0.45">
      <c r="A29" s="18" t="s">
        <v>283</v>
      </c>
      <c r="B29" s="18" t="s">
        <v>284</v>
      </c>
      <c r="C29" s="18" t="s">
        <v>285</v>
      </c>
      <c r="D29" s="18" t="s">
        <v>286</v>
      </c>
      <c r="E29" s="19" t="s">
        <v>276</v>
      </c>
      <c r="F29" s="19" t="s">
        <v>269</v>
      </c>
      <c r="G29" s="19" t="s">
        <v>206</v>
      </c>
      <c r="H29" s="19" t="s">
        <v>242</v>
      </c>
      <c r="I29" s="19" t="s">
        <v>247</v>
      </c>
      <c r="J29" s="19" t="s">
        <v>71</v>
      </c>
      <c r="K29" s="19" t="s">
        <v>277</v>
      </c>
      <c r="L29" s="19">
        <v>4</v>
      </c>
      <c r="M29" s="19">
        <v>5.56</v>
      </c>
      <c r="N29" s="19">
        <v>83.4</v>
      </c>
      <c r="O29" s="19">
        <v>16.600000000000001</v>
      </c>
      <c r="P29" s="19" t="s">
        <v>316</v>
      </c>
      <c r="Q29" s="19">
        <v>0</v>
      </c>
      <c r="R29" s="19">
        <v>4</v>
      </c>
      <c r="S29" s="19">
        <v>82.9</v>
      </c>
      <c r="T29" s="19">
        <v>100</v>
      </c>
      <c r="U29" s="19">
        <v>10805</v>
      </c>
      <c r="V29" s="19">
        <v>12359</v>
      </c>
      <c r="W29" s="19">
        <v>31.5</v>
      </c>
      <c r="X29" s="19">
        <v>98.6</v>
      </c>
      <c r="Y29" s="19">
        <v>16.899999999999999</v>
      </c>
      <c r="Z29" s="19">
        <v>17</v>
      </c>
      <c r="AA29" s="19">
        <v>3.3</v>
      </c>
      <c r="AB29" s="19">
        <v>2.4</v>
      </c>
      <c r="AC29" s="19" t="s">
        <v>317</v>
      </c>
      <c r="AD29" s="19">
        <v>0</v>
      </c>
      <c r="AE29" s="19">
        <v>0</v>
      </c>
    </row>
    <row r="30" spans="1:31" x14ac:dyDescent="0.45">
      <c r="A30" s="18" t="s">
        <v>283</v>
      </c>
      <c r="B30" s="18" t="s">
        <v>284</v>
      </c>
      <c r="C30" s="18" t="s">
        <v>285</v>
      </c>
      <c r="D30" s="18" t="s">
        <v>286</v>
      </c>
      <c r="E30" s="19" t="s">
        <v>276</v>
      </c>
      <c r="F30" s="19" t="s">
        <v>269</v>
      </c>
      <c r="G30" s="19" t="s">
        <v>206</v>
      </c>
      <c r="H30" s="19" t="s">
        <v>250</v>
      </c>
      <c r="I30" s="19" t="s">
        <v>243</v>
      </c>
      <c r="J30" s="19" t="s">
        <v>71</v>
      </c>
      <c r="K30" s="19" t="s">
        <v>277</v>
      </c>
      <c r="L30" s="19">
        <v>8</v>
      </c>
      <c r="M30" s="19">
        <v>10.78</v>
      </c>
      <c r="N30" s="19">
        <v>80.8</v>
      </c>
      <c r="O30" s="19">
        <v>182.32</v>
      </c>
      <c r="P30" s="19" t="s">
        <v>318</v>
      </c>
      <c r="Q30" s="19">
        <v>1.2331799999999999</v>
      </c>
      <c r="R30" s="19">
        <v>5</v>
      </c>
      <c r="S30" s="19">
        <v>41.8</v>
      </c>
      <c r="T30" s="19">
        <v>100</v>
      </c>
      <c r="U30" s="19">
        <v>9228</v>
      </c>
      <c r="V30" s="19">
        <v>9495</v>
      </c>
      <c r="W30" s="19">
        <v>16</v>
      </c>
      <c r="X30" s="19">
        <v>98.7</v>
      </c>
      <c r="Y30" s="19">
        <v>17</v>
      </c>
      <c r="Z30" s="19">
        <v>17.100000000000001</v>
      </c>
      <c r="AA30" s="19">
        <v>0</v>
      </c>
      <c r="AB30" s="19">
        <v>0</v>
      </c>
      <c r="AC30" s="19" t="s">
        <v>319</v>
      </c>
      <c r="AD30" s="19">
        <v>0</v>
      </c>
      <c r="AE30" s="19">
        <v>0</v>
      </c>
    </row>
    <row r="31" spans="1:31" x14ac:dyDescent="0.45">
      <c r="A31" s="16" t="s">
        <v>320</v>
      </c>
      <c r="B31" s="16" t="s">
        <v>321</v>
      </c>
      <c r="C31" s="16" t="s">
        <v>285</v>
      </c>
      <c r="D31" s="16" t="s">
        <v>322</v>
      </c>
      <c r="E31" s="17" t="s">
        <v>240</v>
      </c>
      <c r="F31" s="17" t="s">
        <v>241</v>
      </c>
      <c r="G31" s="17" t="s">
        <v>206</v>
      </c>
      <c r="H31" s="17" t="s">
        <v>242</v>
      </c>
      <c r="I31" s="17" t="s">
        <v>243</v>
      </c>
      <c r="J31" s="17" t="s">
        <v>71</v>
      </c>
      <c r="K31" s="17" t="s">
        <v>244</v>
      </c>
      <c r="L31" s="17">
        <v>200</v>
      </c>
      <c r="M31" s="17">
        <v>430.4</v>
      </c>
      <c r="N31" s="17">
        <v>129.1</v>
      </c>
      <c r="O31" s="17">
        <v>143.51</v>
      </c>
      <c r="P31" s="17" t="s">
        <v>323</v>
      </c>
      <c r="Q31" s="17">
        <v>2.54033</v>
      </c>
      <c r="R31" s="17">
        <v>4</v>
      </c>
      <c r="S31" s="17">
        <v>17</v>
      </c>
      <c r="T31" s="17">
        <v>100</v>
      </c>
      <c r="U31" s="17">
        <v>10151</v>
      </c>
      <c r="V31" s="17">
        <v>13626</v>
      </c>
      <c r="W31" s="17">
        <v>10.7</v>
      </c>
      <c r="X31" s="17">
        <v>20</v>
      </c>
      <c r="Y31" s="17">
        <v>20.5</v>
      </c>
      <c r="Z31" s="17">
        <v>24.5</v>
      </c>
      <c r="AA31" s="17">
        <v>1.8</v>
      </c>
      <c r="AB31" s="17">
        <v>0.2</v>
      </c>
      <c r="AC31" s="17" t="s">
        <v>324</v>
      </c>
      <c r="AD31" s="17">
        <v>0</v>
      </c>
      <c r="AE31" s="17">
        <v>0</v>
      </c>
    </row>
    <row r="32" spans="1:31" x14ac:dyDescent="0.45">
      <c r="A32" s="16" t="s">
        <v>320</v>
      </c>
      <c r="B32" s="16" t="s">
        <v>321</v>
      </c>
      <c r="C32" s="16" t="s">
        <v>285</v>
      </c>
      <c r="D32" s="16" t="s">
        <v>322</v>
      </c>
      <c r="E32" s="17" t="s">
        <v>240</v>
      </c>
      <c r="F32" s="17" t="s">
        <v>241</v>
      </c>
      <c r="G32" s="17" t="s">
        <v>206</v>
      </c>
      <c r="H32" s="17" t="s">
        <v>242</v>
      </c>
      <c r="I32" s="17" t="s">
        <v>247</v>
      </c>
      <c r="J32" s="17" t="s">
        <v>71</v>
      </c>
      <c r="K32" s="17" t="s">
        <v>244</v>
      </c>
      <c r="L32" s="17">
        <v>200</v>
      </c>
      <c r="M32" s="17">
        <v>430.4</v>
      </c>
      <c r="N32" s="17">
        <v>129.1</v>
      </c>
      <c r="O32" s="17">
        <v>252.76</v>
      </c>
      <c r="P32" s="17" t="s">
        <v>325</v>
      </c>
      <c r="Q32" s="17">
        <v>4.7352600000000002</v>
      </c>
      <c r="R32" s="17">
        <v>4</v>
      </c>
      <c r="S32" s="17">
        <v>26.8</v>
      </c>
      <c r="T32" s="17">
        <v>100</v>
      </c>
      <c r="U32" s="17">
        <v>13783</v>
      </c>
      <c r="V32" s="17">
        <v>15130</v>
      </c>
      <c r="W32" s="17">
        <v>7.3</v>
      </c>
      <c r="X32" s="17">
        <v>21.6</v>
      </c>
      <c r="Y32" s="17">
        <v>26</v>
      </c>
      <c r="Z32" s="17">
        <v>27.4</v>
      </c>
      <c r="AA32" s="17">
        <v>0</v>
      </c>
      <c r="AB32" s="17">
        <v>1.1000000000000001</v>
      </c>
      <c r="AC32" s="17" t="s">
        <v>326</v>
      </c>
      <c r="AD32" s="17">
        <v>0</v>
      </c>
      <c r="AE32" s="17">
        <v>0</v>
      </c>
    </row>
    <row r="33" spans="1:31" x14ac:dyDescent="0.45">
      <c r="A33" s="16" t="s">
        <v>320</v>
      </c>
      <c r="B33" s="16" t="s">
        <v>321</v>
      </c>
      <c r="C33" s="16" t="s">
        <v>285</v>
      </c>
      <c r="D33" s="16" t="s">
        <v>322</v>
      </c>
      <c r="E33" s="17" t="s">
        <v>240</v>
      </c>
      <c r="F33" s="17" t="s">
        <v>241</v>
      </c>
      <c r="G33" s="17" t="s">
        <v>206</v>
      </c>
      <c r="H33" s="17" t="s">
        <v>250</v>
      </c>
      <c r="I33" s="17" t="s">
        <v>243</v>
      </c>
      <c r="J33" s="17" t="s">
        <v>71</v>
      </c>
      <c r="K33" s="17" t="s">
        <v>251</v>
      </c>
      <c r="L33" s="17">
        <v>400</v>
      </c>
      <c r="M33" s="17">
        <v>858.35</v>
      </c>
      <c r="N33" s="17">
        <v>128.80000000000001</v>
      </c>
      <c r="O33" s="17">
        <v>314.10000000000002</v>
      </c>
      <c r="P33" s="17" t="s">
        <v>327</v>
      </c>
      <c r="Q33" s="17">
        <v>4.5030200000000002</v>
      </c>
      <c r="R33" s="17">
        <v>280</v>
      </c>
      <c r="S33" s="17">
        <v>16.399999999999999</v>
      </c>
      <c r="T33" s="17">
        <v>100</v>
      </c>
      <c r="U33" s="17">
        <v>13622</v>
      </c>
      <c r="V33" s="17">
        <v>13622</v>
      </c>
      <c r="W33" s="17">
        <v>11.6</v>
      </c>
      <c r="X33" s="17">
        <v>32.4</v>
      </c>
      <c r="Y33" s="17">
        <v>28.1</v>
      </c>
      <c r="Z33" s="17">
        <v>28.2</v>
      </c>
      <c r="AA33" s="17">
        <v>0</v>
      </c>
      <c r="AB33" s="17">
        <v>0.1</v>
      </c>
      <c r="AC33" s="17" t="s">
        <v>328</v>
      </c>
      <c r="AD33" s="17">
        <v>0</v>
      </c>
      <c r="AE33" s="17">
        <v>0</v>
      </c>
    </row>
    <row r="34" spans="1:31" x14ac:dyDescent="0.45">
      <c r="A34" s="16" t="s">
        <v>320</v>
      </c>
      <c r="B34" s="16" t="s">
        <v>321</v>
      </c>
      <c r="C34" s="16" t="s">
        <v>285</v>
      </c>
      <c r="D34" s="16" t="s">
        <v>322</v>
      </c>
      <c r="E34" s="17" t="s">
        <v>240</v>
      </c>
      <c r="F34" s="17" t="s">
        <v>241</v>
      </c>
      <c r="G34" s="17" t="s">
        <v>206</v>
      </c>
      <c r="H34" s="17" t="s">
        <v>250</v>
      </c>
      <c r="I34" s="17" t="s">
        <v>243</v>
      </c>
      <c r="J34" s="17" t="s">
        <v>71</v>
      </c>
      <c r="K34" s="17" t="s">
        <v>254</v>
      </c>
      <c r="L34" s="17">
        <v>320</v>
      </c>
      <c r="M34" s="17">
        <v>297.12</v>
      </c>
      <c r="N34" s="17">
        <v>55.7</v>
      </c>
      <c r="O34" s="17">
        <v>107.27</v>
      </c>
      <c r="P34" s="17" t="s">
        <v>329</v>
      </c>
      <c r="Q34" s="17">
        <v>1.4942899999999999</v>
      </c>
      <c r="R34" s="17">
        <v>320</v>
      </c>
      <c r="S34" s="17">
        <v>20</v>
      </c>
      <c r="T34" s="17">
        <v>100</v>
      </c>
      <c r="U34" s="17">
        <v>13622</v>
      </c>
      <c r="V34" s="17">
        <v>13622</v>
      </c>
      <c r="W34" s="17">
        <v>13</v>
      </c>
      <c r="X34" s="17">
        <v>35</v>
      </c>
      <c r="Y34" s="17">
        <v>28.2</v>
      </c>
      <c r="Z34" s="17">
        <v>28.3</v>
      </c>
      <c r="AA34" s="17">
        <v>0</v>
      </c>
      <c r="AB34" s="17">
        <v>0.2</v>
      </c>
      <c r="AC34" s="17" t="s">
        <v>330</v>
      </c>
      <c r="AD34" s="17">
        <v>0</v>
      </c>
      <c r="AE34" s="17">
        <v>0</v>
      </c>
    </row>
    <row r="35" spans="1:31" x14ac:dyDescent="0.45">
      <c r="A35" s="16" t="s">
        <v>320</v>
      </c>
      <c r="B35" s="16" t="s">
        <v>321</v>
      </c>
      <c r="C35" s="16" t="s">
        <v>285</v>
      </c>
      <c r="D35" s="16" t="s">
        <v>322</v>
      </c>
      <c r="E35" s="17" t="s">
        <v>257</v>
      </c>
      <c r="F35" s="17" t="s">
        <v>269</v>
      </c>
      <c r="G35" s="17" t="s">
        <v>259</v>
      </c>
      <c r="H35" s="17" t="s">
        <v>295</v>
      </c>
      <c r="I35" s="17" t="s">
        <v>243</v>
      </c>
      <c r="J35" s="17" t="s">
        <v>273</v>
      </c>
      <c r="K35" s="17" t="s">
        <v>244</v>
      </c>
      <c r="L35" s="17">
        <v>200</v>
      </c>
      <c r="M35" s="17">
        <v>428.83</v>
      </c>
      <c r="N35" s="17">
        <v>128.6</v>
      </c>
      <c r="O35" s="17">
        <v>676.93</v>
      </c>
      <c r="P35" s="17" t="s">
        <v>331</v>
      </c>
      <c r="Q35" s="17">
        <v>13.15931</v>
      </c>
      <c r="R35" s="17">
        <v>4</v>
      </c>
      <c r="S35" s="17">
        <v>0</v>
      </c>
      <c r="T35" s="17">
        <v>0</v>
      </c>
      <c r="U35" s="17">
        <v>818</v>
      </c>
      <c r="V35" s="17">
        <v>818</v>
      </c>
      <c r="W35" s="17">
        <v>19.3</v>
      </c>
      <c r="X35" s="17">
        <v>30.5</v>
      </c>
      <c r="Y35" s="17">
        <v>20.399999999999999</v>
      </c>
      <c r="Z35" s="17">
        <v>20.5</v>
      </c>
      <c r="AA35" s="17">
        <v>0</v>
      </c>
      <c r="AB35" s="17">
        <v>2.4</v>
      </c>
      <c r="AC35" s="17" t="s">
        <v>332</v>
      </c>
      <c r="AD35" s="17">
        <v>0</v>
      </c>
      <c r="AE35" s="17">
        <v>0</v>
      </c>
    </row>
    <row r="36" spans="1:31" x14ac:dyDescent="0.45">
      <c r="A36" s="16" t="s">
        <v>320</v>
      </c>
      <c r="B36" s="16" t="s">
        <v>321</v>
      </c>
      <c r="C36" s="16" t="s">
        <v>285</v>
      </c>
      <c r="D36" s="16" t="s">
        <v>322</v>
      </c>
      <c r="E36" s="17" t="s">
        <v>257</v>
      </c>
      <c r="F36" s="17" t="s">
        <v>258</v>
      </c>
      <c r="G36" s="17" t="s">
        <v>259</v>
      </c>
      <c r="H36" s="17" t="s">
        <v>250</v>
      </c>
      <c r="I36" s="17" t="s">
        <v>243</v>
      </c>
      <c r="J36" s="17" t="s">
        <v>260</v>
      </c>
      <c r="K36" s="17" t="s">
        <v>251</v>
      </c>
      <c r="L36" s="17">
        <v>75</v>
      </c>
      <c r="M36" s="17">
        <v>160.65</v>
      </c>
      <c r="N36" s="17">
        <v>128.5</v>
      </c>
      <c r="O36" s="17">
        <v>280.16000000000003</v>
      </c>
      <c r="P36" s="17" t="s">
        <v>333</v>
      </c>
      <c r="Q36" s="17">
        <v>2.0390600000000001</v>
      </c>
      <c r="R36" s="17">
        <v>65</v>
      </c>
      <c r="S36" s="17">
        <v>0</v>
      </c>
      <c r="T36" s="17">
        <v>0</v>
      </c>
      <c r="U36" s="17">
        <v>818</v>
      </c>
      <c r="V36" s="17">
        <v>818</v>
      </c>
      <c r="W36" s="17">
        <v>20.7</v>
      </c>
      <c r="X36" s="17">
        <v>41.4</v>
      </c>
      <c r="Y36" s="17">
        <v>20.5</v>
      </c>
      <c r="Z36" s="17">
        <v>20.6</v>
      </c>
      <c r="AA36" s="17">
        <v>0</v>
      </c>
      <c r="AB36" s="17">
        <v>1.5</v>
      </c>
      <c r="AC36" s="17" t="s">
        <v>334</v>
      </c>
      <c r="AD36" s="17">
        <v>0</v>
      </c>
      <c r="AE36" s="17">
        <v>0</v>
      </c>
    </row>
    <row r="37" spans="1:31" x14ac:dyDescent="0.45">
      <c r="A37" s="16" t="s">
        <v>320</v>
      </c>
      <c r="B37" s="16" t="s">
        <v>321</v>
      </c>
      <c r="C37" s="16" t="s">
        <v>285</v>
      </c>
      <c r="D37" s="16" t="s">
        <v>322</v>
      </c>
      <c r="E37" s="17" t="s">
        <v>257</v>
      </c>
      <c r="F37" s="17" t="s">
        <v>258</v>
      </c>
      <c r="G37" s="17" t="s">
        <v>259</v>
      </c>
      <c r="H37" s="17" t="s">
        <v>250</v>
      </c>
      <c r="I37" s="17" t="s">
        <v>243</v>
      </c>
      <c r="J37" s="17" t="s">
        <v>260</v>
      </c>
      <c r="K37" s="17" t="s">
        <v>254</v>
      </c>
      <c r="L37" s="17">
        <v>80</v>
      </c>
      <c r="M37" s="17">
        <v>75.12</v>
      </c>
      <c r="N37" s="17">
        <v>56.3</v>
      </c>
      <c r="O37" s="17">
        <v>123.55</v>
      </c>
      <c r="P37" s="17" t="s">
        <v>335</v>
      </c>
      <c r="Q37" s="17">
        <v>1.1336299999999999</v>
      </c>
      <c r="R37" s="17">
        <v>65</v>
      </c>
      <c r="S37" s="17">
        <v>0</v>
      </c>
      <c r="T37" s="17">
        <v>0</v>
      </c>
      <c r="U37" s="17">
        <v>818</v>
      </c>
      <c r="V37" s="17">
        <v>818</v>
      </c>
      <c r="W37" s="17">
        <v>22.8</v>
      </c>
      <c r="X37" s="17">
        <v>42.7</v>
      </c>
      <c r="Y37" s="17">
        <v>20.5</v>
      </c>
      <c r="Z37" s="17">
        <v>20.5</v>
      </c>
      <c r="AA37" s="17">
        <v>0</v>
      </c>
      <c r="AB37" s="17">
        <v>1.7</v>
      </c>
      <c r="AC37" s="17" t="s">
        <v>336</v>
      </c>
      <c r="AD37" s="17">
        <v>0</v>
      </c>
      <c r="AE37" s="17">
        <v>0</v>
      </c>
    </row>
    <row r="38" spans="1:31" x14ac:dyDescent="0.45">
      <c r="A38" s="16" t="s">
        <v>320</v>
      </c>
      <c r="B38" s="16" t="s">
        <v>321</v>
      </c>
      <c r="C38" s="16" t="s">
        <v>285</v>
      </c>
      <c r="D38" s="16" t="s">
        <v>322</v>
      </c>
      <c r="E38" s="17" t="s">
        <v>257</v>
      </c>
      <c r="F38" s="17" t="s">
        <v>269</v>
      </c>
      <c r="G38" s="17" t="s">
        <v>259</v>
      </c>
      <c r="H38" s="17" t="s">
        <v>250</v>
      </c>
      <c r="I38" s="17" t="s">
        <v>243</v>
      </c>
      <c r="J38" s="17" t="s">
        <v>273</v>
      </c>
      <c r="K38" s="17" t="s">
        <v>251</v>
      </c>
      <c r="L38" s="17">
        <v>200</v>
      </c>
      <c r="M38" s="17">
        <v>428.83</v>
      </c>
      <c r="N38" s="17">
        <v>128.6</v>
      </c>
      <c r="O38" s="17">
        <v>434.72</v>
      </c>
      <c r="P38" s="17" t="s">
        <v>337</v>
      </c>
      <c r="Q38" s="17">
        <v>4.8418599999999996</v>
      </c>
      <c r="R38" s="17">
        <v>85</v>
      </c>
      <c r="S38" s="17">
        <v>0</v>
      </c>
      <c r="T38" s="17">
        <v>0</v>
      </c>
      <c r="U38" s="17">
        <v>818</v>
      </c>
      <c r="V38" s="17">
        <v>818</v>
      </c>
      <c r="W38" s="17">
        <v>29.2</v>
      </c>
      <c r="X38" s="17">
        <v>43.6</v>
      </c>
      <c r="Y38" s="17">
        <v>20.5</v>
      </c>
      <c r="Z38" s="17">
        <v>20.5</v>
      </c>
      <c r="AA38" s="17">
        <v>0</v>
      </c>
      <c r="AB38" s="17">
        <v>1.8</v>
      </c>
      <c r="AC38" s="17" t="s">
        <v>338</v>
      </c>
      <c r="AD38" s="17">
        <v>0</v>
      </c>
      <c r="AE38" s="17">
        <v>0</v>
      </c>
    </row>
    <row r="39" spans="1:31" x14ac:dyDescent="0.45">
      <c r="A39" s="16" t="s">
        <v>320</v>
      </c>
      <c r="B39" s="16" t="s">
        <v>321</v>
      </c>
      <c r="C39" s="16" t="s">
        <v>285</v>
      </c>
      <c r="D39" s="16" t="s">
        <v>322</v>
      </c>
      <c r="E39" s="17" t="s">
        <v>257</v>
      </c>
      <c r="F39" s="17" t="s">
        <v>269</v>
      </c>
      <c r="G39" s="17" t="s">
        <v>259</v>
      </c>
      <c r="H39" s="17" t="s">
        <v>250</v>
      </c>
      <c r="I39" s="17" t="s">
        <v>243</v>
      </c>
      <c r="J39" s="17" t="s">
        <v>273</v>
      </c>
      <c r="K39" s="17" t="s">
        <v>254</v>
      </c>
      <c r="L39" s="17">
        <v>160</v>
      </c>
      <c r="M39" s="17">
        <v>149.29</v>
      </c>
      <c r="N39" s="17">
        <v>56</v>
      </c>
      <c r="O39" s="17">
        <v>164.23</v>
      </c>
      <c r="P39" s="17" t="s">
        <v>339</v>
      </c>
      <c r="Q39" s="17">
        <v>1.4768600000000001</v>
      </c>
      <c r="R39" s="17">
        <v>85</v>
      </c>
      <c r="S39" s="17">
        <v>0</v>
      </c>
      <c r="T39" s="17">
        <v>0</v>
      </c>
      <c r="U39" s="17">
        <v>818</v>
      </c>
      <c r="V39" s="17">
        <v>818</v>
      </c>
      <c r="W39" s="17">
        <v>27.8</v>
      </c>
      <c r="X39" s="17">
        <v>43.2</v>
      </c>
      <c r="Y39" s="17">
        <v>20.5</v>
      </c>
      <c r="Z39" s="17">
        <v>20.5</v>
      </c>
      <c r="AA39" s="17">
        <v>0</v>
      </c>
      <c r="AB39" s="17">
        <v>1.8</v>
      </c>
      <c r="AC39" s="17" t="s">
        <v>340</v>
      </c>
      <c r="AD39" s="17">
        <v>0</v>
      </c>
      <c r="AE39" s="17">
        <v>0</v>
      </c>
    </row>
    <row r="40" spans="1:31" x14ac:dyDescent="0.45">
      <c r="A40" s="16" t="s">
        <v>320</v>
      </c>
      <c r="B40" s="16" t="s">
        <v>321</v>
      </c>
      <c r="C40" s="16" t="s">
        <v>285</v>
      </c>
      <c r="D40" s="16" t="s">
        <v>322</v>
      </c>
      <c r="E40" s="17" t="s">
        <v>257</v>
      </c>
      <c r="F40" s="17" t="s">
        <v>258</v>
      </c>
      <c r="G40" s="17" t="s">
        <v>206</v>
      </c>
      <c r="H40" s="17" t="s">
        <v>250</v>
      </c>
      <c r="I40" s="17" t="s">
        <v>243</v>
      </c>
      <c r="J40" s="17" t="s">
        <v>260</v>
      </c>
      <c r="K40" s="17" t="s">
        <v>251</v>
      </c>
      <c r="L40" s="17">
        <v>200</v>
      </c>
      <c r="M40" s="17">
        <v>428.83</v>
      </c>
      <c r="N40" s="17">
        <v>128.6</v>
      </c>
      <c r="O40" s="17">
        <v>316.32</v>
      </c>
      <c r="P40" s="17" t="s">
        <v>341</v>
      </c>
      <c r="Q40" s="17">
        <v>3.7793199999999998</v>
      </c>
      <c r="R40" s="17">
        <v>125</v>
      </c>
      <c r="S40" s="17">
        <v>79.8</v>
      </c>
      <c r="T40" s="17">
        <v>99</v>
      </c>
      <c r="U40" s="17">
        <v>3798</v>
      </c>
      <c r="V40" s="17">
        <v>3798</v>
      </c>
      <c r="W40" s="17">
        <v>19.8</v>
      </c>
      <c r="X40" s="17">
        <v>32.700000000000003</v>
      </c>
      <c r="Y40" s="17">
        <v>20.7</v>
      </c>
      <c r="Z40" s="17">
        <v>20.8</v>
      </c>
      <c r="AA40" s="17">
        <v>0</v>
      </c>
      <c r="AB40" s="17">
        <v>2.4</v>
      </c>
      <c r="AC40" s="17" t="s">
        <v>342</v>
      </c>
      <c r="AD40" s="17">
        <v>0</v>
      </c>
      <c r="AE40" s="17">
        <v>0</v>
      </c>
    </row>
    <row r="41" spans="1:31" x14ac:dyDescent="0.45">
      <c r="A41" s="16" t="s">
        <v>320</v>
      </c>
      <c r="B41" s="16" t="s">
        <v>321</v>
      </c>
      <c r="C41" s="16" t="s">
        <v>285</v>
      </c>
      <c r="D41" s="16" t="s">
        <v>322</v>
      </c>
      <c r="E41" s="17" t="s">
        <v>257</v>
      </c>
      <c r="F41" s="17" t="s">
        <v>258</v>
      </c>
      <c r="G41" s="17" t="s">
        <v>206</v>
      </c>
      <c r="H41" s="17" t="s">
        <v>250</v>
      </c>
      <c r="I41" s="17" t="s">
        <v>243</v>
      </c>
      <c r="J41" s="17" t="s">
        <v>260</v>
      </c>
      <c r="K41" s="17" t="s">
        <v>254</v>
      </c>
      <c r="L41" s="17">
        <v>160</v>
      </c>
      <c r="M41" s="17">
        <v>146.88</v>
      </c>
      <c r="N41" s="17">
        <v>55.1</v>
      </c>
      <c r="O41" s="17">
        <v>146.19</v>
      </c>
      <c r="P41" s="17" t="s">
        <v>343</v>
      </c>
      <c r="Q41" s="17">
        <v>1.0804400000000001</v>
      </c>
      <c r="R41" s="17">
        <v>120</v>
      </c>
      <c r="S41" s="17">
        <v>60.7</v>
      </c>
      <c r="T41" s="17">
        <v>99</v>
      </c>
      <c r="U41" s="17">
        <v>3798</v>
      </c>
      <c r="V41" s="17">
        <v>3798</v>
      </c>
      <c r="W41" s="17">
        <v>15.8</v>
      </c>
      <c r="X41" s="17">
        <v>30.5</v>
      </c>
      <c r="Y41" s="17">
        <v>20.6</v>
      </c>
      <c r="Z41" s="17">
        <v>20.7</v>
      </c>
      <c r="AA41" s="17">
        <v>0</v>
      </c>
      <c r="AB41" s="17">
        <v>2.2999999999999998</v>
      </c>
      <c r="AC41" s="17" t="s">
        <v>344</v>
      </c>
      <c r="AD41" s="17">
        <v>0</v>
      </c>
      <c r="AE41" s="17">
        <v>0</v>
      </c>
    </row>
    <row r="42" spans="1:31" x14ac:dyDescent="0.45">
      <c r="A42" s="16" t="s">
        <v>320</v>
      </c>
      <c r="B42" s="16" t="s">
        <v>321</v>
      </c>
      <c r="C42" s="16" t="s">
        <v>285</v>
      </c>
      <c r="D42" s="16" t="s">
        <v>322</v>
      </c>
      <c r="E42" s="17" t="s">
        <v>257</v>
      </c>
      <c r="F42" s="17" t="s">
        <v>269</v>
      </c>
      <c r="G42" s="17" t="s">
        <v>206</v>
      </c>
      <c r="H42" s="17" t="s">
        <v>250</v>
      </c>
      <c r="I42" s="17" t="s">
        <v>243</v>
      </c>
      <c r="J42" s="17" t="s">
        <v>270</v>
      </c>
      <c r="K42" s="17" t="s">
        <v>251</v>
      </c>
      <c r="L42" s="17">
        <v>200</v>
      </c>
      <c r="M42" s="17">
        <v>428.8</v>
      </c>
      <c r="N42" s="17">
        <v>128.6</v>
      </c>
      <c r="O42" s="17">
        <v>293.27999999999997</v>
      </c>
      <c r="P42" s="17" t="s">
        <v>345</v>
      </c>
      <c r="Q42" s="17">
        <v>4.5492600000000003</v>
      </c>
      <c r="R42" s="17">
        <v>140</v>
      </c>
      <c r="S42" s="17">
        <v>71.5</v>
      </c>
      <c r="T42" s="17">
        <v>99</v>
      </c>
      <c r="U42" s="17">
        <v>3796</v>
      </c>
      <c r="V42" s="17">
        <v>3798</v>
      </c>
      <c r="W42" s="17">
        <v>18.100000000000001</v>
      </c>
      <c r="X42" s="17">
        <v>30.1</v>
      </c>
      <c r="Y42" s="17">
        <v>20.6</v>
      </c>
      <c r="Z42" s="17">
        <v>20.7</v>
      </c>
      <c r="AA42" s="17">
        <v>0</v>
      </c>
      <c r="AB42" s="17">
        <v>2.4</v>
      </c>
      <c r="AC42" s="17" t="s">
        <v>346</v>
      </c>
      <c r="AD42" s="17">
        <v>0</v>
      </c>
      <c r="AE42" s="17">
        <v>0</v>
      </c>
    </row>
    <row r="43" spans="1:31" x14ac:dyDescent="0.45">
      <c r="A43" s="16" t="s">
        <v>320</v>
      </c>
      <c r="B43" s="16" t="s">
        <v>321</v>
      </c>
      <c r="C43" s="16" t="s">
        <v>285</v>
      </c>
      <c r="D43" s="16" t="s">
        <v>322</v>
      </c>
      <c r="E43" s="17" t="s">
        <v>257</v>
      </c>
      <c r="F43" s="17" t="s">
        <v>269</v>
      </c>
      <c r="G43" s="17" t="s">
        <v>206</v>
      </c>
      <c r="H43" s="17" t="s">
        <v>250</v>
      </c>
      <c r="I43" s="17" t="s">
        <v>243</v>
      </c>
      <c r="J43" s="17" t="s">
        <v>273</v>
      </c>
      <c r="K43" s="17" t="s">
        <v>251</v>
      </c>
      <c r="L43" s="17">
        <v>200</v>
      </c>
      <c r="M43" s="17">
        <v>428.83</v>
      </c>
      <c r="N43" s="17">
        <v>128.6</v>
      </c>
      <c r="O43" s="17">
        <v>289.87</v>
      </c>
      <c r="P43" s="17" t="s">
        <v>347</v>
      </c>
      <c r="Q43" s="17">
        <v>5.9592700000000001</v>
      </c>
      <c r="R43" s="17">
        <v>195</v>
      </c>
      <c r="S43" s="17">
        <v>49.5</v>
      </c>
      <c r="T43" s="17">
        <v>99</v>
      </c>
      <c r="U43" s="17">
        <v>3798</v>
      </c>
      <c r="V43" s="17">
        <v>3798</v>
      </c>
      <c r="W43" s="17">
        <v>14.1</v>
      </c>
      <c r="X43" s="17">
        <v>31.9</v>
      </c>
      <c r="Y43" s="17">
        <v>20.9</v>
      </c>
      <c r="Z43" s="17">
        <v>21.1</v>
      </c>
      <c r="AA43" s="17">
        <v>0</v>
      </c>
      <c r="AB43" s="17">
        <v>1.2</v>
      </c>
      <c r="AC43" s="17" t="s">
        <v>348</v>
      </c>
      <c r="AD43" s="17">
        <v>0</v>
      </c>
      <c r="AE43" s="17">
        <v>0</v>
      </c>
    </row>
    <row r="44" spans="1:31" x14ac:dyDescent="0.45">
      <c r="A44" s="16" t="s">
        <v>320</v>
      </c>
      <c r="B44" s="16" t="s">
        <v>321</v>
      </c>
      <c r="C44" s="16" t="s">
        <v>285</v>
      </c>
      <c r="D44" s="16" t="s">
        <v>322</v>
      </c>
      <c r="E44" s="17" t="s">
        <v>276</v>
      </c>
      <c r="F44" s="17" t="s">
        <v>269</v>
      </c>
      <c r="G44" s="17" t="s">
        <v>206</v>
      </c>
      <c r="H44" s="17" t="s">
        <v>242</v>
      </c>
      <c r="I44" s="17" t="s">
        <v>243</v>
      </c>
      <c r="J44" s="17" t="s">
        <v>71</v>
      </c>
      <c r="K44" s="17" t="s">
        <v>277</v>
      </c>
      <c r="L44" s="17">
        <v>4</v>
      </c>
      <c r="M44" s="17">
        <v>5.56</v>
      </c>
      <c r="N44" s="17">
        <v>83.4</v>
      </c>
      <c r="O44" s="17">
        <v>18.600000000000001</v>
      </c>
      <c r="P44" s="17" t="s">
        <v>349</v>
      </c>
      <c r="Q44" s="17">
        <v>0</v>
      </c>
      <c r="R44" s="17">
        <v>4</v>
      </c>
      <c r="S44" s="17">
        <v>80.400000000000006</v>
      </c>
      <c r="T44" s="17">
        <v>100</v>
      </c>
      <c r="U44" s="17">
        <v>13352</v>
      </c>
      <c r="V44" s="17">
        <v>14164</v>
      </c>
      <c r="W44" s="17">
        <v>21.7</v>
      </c>
      <c r="X44" s="17">
        <v>98.3</v>
      </c>
      <c r="Y44" s="17">
        <v>19.399999999999999</v>
      </c>
      <c r="Z44" s="17">
        <v>19.5</v>
      </c>
      <c r="AA44" s="17">
        <v>4.2</v>
      </c>
      <c r="AB44" s="17">
        <v>1.7</v>
      </c>
      <c r="AC44" s="17" t="s">
        <v>350</v>
      </c>
      <c r="AD44" s="17">
        <v>0</v>
      </c>
      <c r="AE44" s="17">
        <v>0</v>
      </c>
    </row>
    <row r="45" spans="1:31" x14ac:dyDescent="0.45">
      <c r="A45" s="16" t="s">
        <v>320</v>
      </c>
      <c r="B45" s="16" t="s">
        <v>321</v>
      </c>
      <c r="C45" s="16" t="s">
        <v>285</v>
      </c>
      <c r="D45" s="16" t="s">
        <v>322</v>
      </c>
      <c r="E45" s="17" t="s">
        <v>276</v>
      </c>
      <c r="F45" s="17" t="s">
        <v>269</v>
      </c>
      <c r="G45" s="17" t="s">
        <v>206</v>
      </c>
      <c r="H45" s="17" t="s">
        <v>242</v>
      </c>
      <c r="I45" s="17" t="s">
        <v>247</v>
      </c>
      <c r="J45" s="17" t="s">
        <v>71</v>
      </c>
      <c r="K45" s="17" t="s">
        <v>277</v>
      </c>
      <c r="L45" s="17">
        <v>4</v>
      </c>
      <c r="M45" s="17">
        <v>5.56</v>
      </c>
      <c r="N45" s="17">
        <v>83.4</v>
      </c>
      <c r="O45" s="17">
        <v>18.600000000000001</v>
      </c>
      <c r="P45" s="17" t="s">
        <v>316</v>
      </c>
      <c r="Q45" s="17">
        <v>0</v>
      </c>
      <c r="R45" s="17">
        <v>4</v>
      </c>
      <c r="S45" s="17">
        <v>91.5</v>
      </c>
      <c r="T45" s="17">
        <v>100</v>
      </c>
      <c r="U45" s="17">
        <v>13505</v>
      </c>
      <c r="V45" s="17">
        <v>14606</v>
      </c>
      <c r="W45" s="17">
        <v>31</v>
      </c>
      <c r="X45" s="17">
        <v>100</v>
      </c>
      <c r="Y45" s="17">
        <v>19.899999999999999</v>
      </c>
      <c r="Z45" s="17">
        <v>20</v>
      </c>
      <c r="AA45" s="17">
        <v>2.6</v>
      </c>
      <c r="AB45" s="17">
        <v>0.6</v>
      </c>
      <c r="AC45" s="17" t="s">
        <v>351</v>
      </c>
      <c r="AD45" s="17">
        <v>0</v>
      </c>
      <c r="AE45" s="17">
        <v>0</v>
      </c>
    </row>
    <row r="46" spans="1:31" x14ac:dyDescent="0.45">
      <c r="A46" s="16" t="s">
        <v>320</v>
      </c>
      <c r="B46" s="16" t="s">
        <v>321</v>
      </c>
      <c r="C46" s="16" t="s">
        <v>285</v>
      </c>
      <c r="D46" s="16" t="s">
        <v>322</v>
      </c>
      <c r="E46" s="17" t="s">
        <v>276</v>
      </c>
      <c r="F46" s="17" t="s">
        <v>269</v>
      </c>
      <c r="G46" s="17" t="s">
        <v>206</v>
      </c>
      <c r="H46" s="17" t="s">
        <v>250</v>
      </c>
      <c r="I46" s="17" t="s">
        <v>243</v>
      </c>
      <c r="J46" s="17" t="s">
        <v>71</v>
      </c>
      <c r="K46" s="17" t="s">
        <v>277</v>
      </c>
      <c r="L46" s="17">
        <v>8</v>
      </c>
      <c r="M46" s="17">
        <v>10.55</v>
      </c>
      <c r="N46" s="17">
        <v>79.099999999999994</v>
      </c>
      <c r="O46" s="17">
        <v>188.67</v>
      </c>
      <c r="P46" s="17" t="s">
        <v>352</v>
      </c>
      <c r="Q46" s="17">
        <v>3.7227999999999999</v>
      </c>
      <c r="R46" s="17">
        <v>5</v>
      </c>
      <c r="S46" s="17">
        <v>54.4</v>
      </c>
      <c r="T46" s="17">
        <v>100</v>
      </c>
      <c r="U46" s="17">
        <v>11860</v>
      </c>
      <c r="V46" s="17">
        <v>12096</v>
      </c>
      <c r="W46" s="17">
        <v>17.7</v>
      </c>
      <c r="X46" s="17">
        <v>99.8</v>
      </c>
      <c r="Y46" s="17">
        <v>19.899999999999999</v>
      </c>
      <c r="Z46" s="17">
        <v>20</v>
      </c>
      <c r="AA46" s="17">
        <v>0</v>
      </c>
      <c r="AB46" s="17">
        <v>0</v>
      </c>
      <c r="AC46" s="17" t="s">
        <v>353</v>
      </c>
      <c r="AD46" s="17">
        <v>0</v>
      </c>
      <c r="AE46" s="17">
        <v>0</v>
      </c>
    </row>
    <row r="47" spans="1:31" x14ac:dyDescent="0.45">
      <c r="A47" s="18" t="s">
        <v>354</v>
      </c>
      <c r="B47" s="18" t="s">
        <v>355</v>
      </c>
      <c r="C47" s="18" t="s">
        <v>356</v>
      </c>
      <c r="D47" s="18" t="s">
        <v>357</v>
      </c>
      <c r="E47" s="19" t="s">
        <v>240</v>
      </c>
      <c r="F47" s="19" t="s">
        <v>241</v>
      </c>
      <c r="G47" s="19" t="s">
        <v>206</v>
      </c>
      <c r="H47" s="19" t="s">
        <v>242</v>
      </c>
      <c r="I47" s="19" t="s">
        <v>243</v>
      </c>
      <c r="J47" s="19" t="s">
        <v>71</v>
      </c>
      <c r="K47" s="19" t="s">
        <v>244</v>
      </c>
      <c r="L47" s="19">
        <v>200</v>
      </c>
      <c r="M47" s="19">
        <v>430.4</v>
      </c>
      <c r="N47" s="19">
        <v>129.1</v>
      </c>
      <c r="O47" s="19">
        <v>353.51</v>
      </c>
      <c r="P47" s="19" t="s">
        <v>358</v>
      </c>
      <c r="Q47" s="19">
        <v>6.5664499999999997</v>
      </c>
      <c r="R47" s="19">
        <v>4</v>
      </c>
      <c r="S47" s="19">
        <v>2.1</v>
      </c>
      <c r="T47" s="19">
        <v>62</v>
      </c>
      <c r="U47" s="19">
        <v>11923</v>
      </c>
      <c r="V47" s="19">
        <v>16565</v>
      </c>
      <c r="W47" s="19">
        <v>12.5</v>
      </c>
      <c r="X47" s="19">
        <v>23.7</v>
      </c>
      <c r="Y47" s="19">
        <v>12.5</v>
      </c>
      <c r="Z47" s="19">
        <v>15.2</v>
      </c>
      <c r="AA47" s="19">
        <v>0</v>
      </c>
      <c r="AB47" s="19">
        <v>0</v>
      </c>
      <c r="AC47" s="19" t="s">
        <v>359</v>
      </c>
      <c r="AD47" s="19">
        <v>0</v>
      </c>
      <c r="AE47" s="19">
        <v>0</v>
      </c>
    </row>
    <row r="48" spans="1:31" x14ac:dyDescent="0.45">
      <c r="A48" s="18" t="s">
        <v>354</v>
      </c>
      <c r="B48" s="18" t="s">
        <v>355</v>
      </c>
      <c r="C48" s="18" t="s">
        <v>356</v>
      </c>
      <c r="D48" s="18" t="s">
        <v>357</v>
      </c>
      <c r="E48" s="19" t="s">
        <v>240</v>
      </c>
      <c r="F48" s="19" t="s">
        <v>241</v>
      </c>
      <c r="G48" s="19" t="s">
        <v>206</v>
      </c>
      <c r="H48" s="19" t="s">
        <v>242</v>
      </c>
      <c r="I48" s="19" t="s">
        <v>247</v>
      </c>
      <c r="J48" s="19" t="s">
        <v>71</v>
      </c>
      <c r="K48" s="19" t="s">
        <v>244</v>
      </c>
      <c r="L48" s="19">
        <v>200</v>
      </c>
      <c r="M48" s="19">
        <v>430.4</v>
      </c>
      <c r="N48" s="19">
        <v>129.1</v>
      </c>
      <c r="O48" s="19">
        <v>348.8</v>
      </c>
      <c r="P48" s="19" t="s">
        <v>360</v>
      </c>
      <c r="Q48" s="19">
        <v>6.4110800000000001</v>
      </c>
      <c r="R48" s="19">
        <v>4</v>
      </c>
      <c r="S48" s="19">
        <v>10.9</v>
      </c>
      <c r="T48" s="19">
        <v>96</v>
      </c>
      <c r="U48" s="19">
        <v>16669</v>
      </c>
      <c r="V48" s="19">
        <v>17969</v>
      </c>
      <c r="W48" s="19">
        <v>12.6</v>
      </c>
      <c r="X48" s="19">
        <v>25.4</v>
      </c>
      <c r="Y48" s="19">
        <v>16.600000000000001</v>
      </c>
      <c r="Z48" s="19">
        <v>17.7</v>
      </c>
      <c r="AA48" s="19">
        <v>0</v>
      </c>
      <c r="AB48" s="19">
        <v>0</v>
      </c>
      <c r="AC48" s="19" t="s">
        <v>361</v>
      </c>
      <c r="AD48" s="19">
        <v>0</v>
      </c>
      <c r="AE48" s="19">
        <v>0</v>
      </c>
    </row>
    <row r="49" spans="1:31" x14ac:dyDescent="0.45">
      <c r="A49" s="18" t="s">
        <v>354</v>
      </c>
      <c r="B49" s="18" t="s">
        <v>355</v>
      </c>
      <c r="C49" s="18" t="s">
        <v>356</v>
      </c>
      <c r="D49" s="18" t="s">
        <v>357</v>
      </c>
      <c r="E49" s="19" t="s">
        <v>240</v>
      </c>
      <c r="F49" s="19" t="s">
        <v>241</v>
      </c>
      <c r="G49" s="19" t="s">
        <v>206</v>
      </c>
      <c r="H49" s="19" t="s">
        <v>250</v>
      </c>
      <c r="I49" s="19" t="s">
        <v>243</v>
      </c>
      <c r="J49" s="19" t="s">
        <v>71</v>
      </c>
      <c r="K49" s="19" t="s">
        <v>251</v>
      </c>
      <c r="L49" s="19">
        <v>200</v>
      </c>
      <c r="M49" s="19">
        <v>429.58</v>
      </c>
      <c r="N49" s="19">
        <v>128.9</v>
      </c>
      <c r="O49" s="19">
        <v>642.79999999999995</v>
      </c>
      <c r="P49" s="19" t="s">
        <v>362</v>
      </c>
      <c r="Q49" s="19">
        <v>4.15686</v>
      </c>
      <c r="R49" s="19">
        <v>50</v>
      </c>
      <c r="S49" s="19">
        <v>4.5999999999999996</v>
      </c>
      <c r="T49" s="19">
        <v>77</v>
      </c>
      <c r="U49" s="19">
        <v>7580</v>
      </c>
      <c r="V49" s="19">
        <v>7581</v>
      </c>
      <c r="W49" s="19">
        <v>13.4</v>
      </c>
      <c r="X49" s="19">
        <v>88.2</v>
      </c>
      <c r="Y49" s="19">
        <v>18</v>
      </c>
      <c r="Z49" s="19">
        <v>18</v>
      </c>
      <c r="AA49" s="19">
        <v>0</v>
      </c>
      <c r="AB49" s="19">
        <v>0</v>
      </c>
      <c r="AC49" s="19" t="s">
        <v>363</v>
      </c>
      <c r="AD49" s="19">
        <v>0</v>
      </c>
      <c r="AE49" s="19">
        <v>0</v>
      </c>
    </row>
    <row r="50" spans="1:31" x14ac:dyDescent="0.45">
      <c r="A50" s="18" t="s">
        <v>354</v>
      </c>
      <c r="B50" s="18" t="s">
        <v>355</v>
      </c>
      <c r="C50" s="18" t="s">
        <v>356</v>
      </c>
      <c r="D50" s="18" t="s">
        <v>357</v>
      </c>
      <c r="E50" s="19" t="s">
        <v>240</v>
      </c>
      <c r="F50" s="19" t="s">
        <v>241</v>
      </c>
      <c r="G50" s="19" t="s">
        <v>206</v>
      </c>
      <c r="H50" s="19" t="s">
        <v>250</v>
      </c>
      <c r="I50" s="19" t="s">
        <v>243</v>
      </c>
      <c r="J50" s="19" t="s">
        <v>71</v>
      </c>
      <c r="K50" s="19" t="s">
        <v>254</v>
      </c>
      <c r="L50" s="19">
        <v>80</v>
      </c>
      <c r="M50" s="19">
        <v>75.849999999999994</v>
      </c>
      <c r="N50" s="19">
        <v>56.9</v>
      </c>
      <c r="O50" s="19">
        <v>155.36000000000001</v>
      </c>
      <c r="P50" s="19" t="s">
        <v>364</v>
      </c>
      <c r="Q50" s="19">
        <v>0.11679</v>
      </c>
      <c r="R50" s="19">
        <v>57</v>
      </c>
      <c r="S50" s="19">
        <v>3.3</v>
      </c>
      <c r="T50" s="19">
        <v>99</v>
      </c>
      <c r="U50" s="19">
        <v>7581</v>
      </c>
      <c r="V50" s="19">
        <v>7581</v>
      </c>
      <c r="W50" s="19">
        <v>10.9</v>
      </c>
      <c r="X50" s="19">
        <v>30.4</v>
      </c>
      <c r="Y50" s="19">
        <v>18</v>
      </c>
      <c r="Z50" s="19">
        <v>18.100000000000001</v>
      </c>
      <c r="AA50" s="19">
        <v>0</v>
      </c>
      <c r="AB50" s="19">
        <v>0</v>
      </c>
      <c r="AC50" s="19" t="s">
        <v>365</v>
      </c>
      <c r="AD50" s="19">
        <v>0</v>
      </c>
      <c r="AE50" s="19">
        <v>0</v>
      </c>
    </row>
    <row r="51" spans="1:31" x14ac:dyDescent="0.45">
      <c r="A51" s="18" t="s">
        <v>354</v>
      </c>
      <c r="B51" s="18" t="s">
        <v>355</v>
      </c>
      <c r="C51" s="18" t="s">
        <v>356</v>
      </c>
      <c r="D51" s="18" t="s">
        <v>357</v>
      </c>
      <c r="E51" s="19" t="s">
        <v>257</v>
      </c>
      <c r="F51" s="19" t="s">
        <v>258</v>
      </c>
      <c r="G51" s="19" t="s">
        <v>259</v>
      </c>
      <c r="H51" s="19" t="s">
        <v>250</v>
      </c>
      <c r="I51" s="19" t="s">
        <v>243</v>
      </c>
      <c r="J51" s="19" t="s">
        <v>260</v>
      </c>
      <c r="K51" s="19" t="s">
        <v>251</v>
      </c>
      <c r="L51" s="19">
        <v>200</v>
      </c>
      <c r="M51" s="19">
        <v>428.83</v>
      </c>
      <c r="N51" s="19">
        <v>128.6</v>
      </c>
      <c r="O51" s="19">
        <v>467.38</v>
      </c>
      <c r="P51" s="19" t="s">
        <v>366</v>
      </c>
      <c r="Q51" s="19">
        <v>4.5326500000000003</v>
      </c>
      <c r="R51" s="19">
        <v>95</v>
      </c>
      <c r="S51" s="19">
        <v>0</v>
      </c>
      <c r="T51" s="19">
        <v>0</v>
      </c>
      <c r="U51" s="19">
        <v>2473</v>
      </c>
      <c r="V51" s="19">
        <v>2473</v>
      </c>
      <c r="W51" s="19">
        <v>38.1</v>
      </c>
      <c r="X51" s="19">
        <v>59.3</v>
      </c>
      <c r="Y51" s="19">
        <v>13.2</v>
      </c>
      <c r="Z51" s="19">
        <v>13.3</v>
      </c>
      <c r="AA51" s="19">
        <v>0</v>
      </c>
      <c r="AB51" s="19">
        <v>0</v>
      </c>
      <c r="AC51" s="19" t="s">
        <v>367</v>
      </c>
      <c r="AD51" s="19">
        <v>0</v>
      </c>
      <c r="AE51" s="19">
        <v>0</v>
      </c>
    </row>
    <row r="52" spans="1:31" x14ac:dyDescent="0.45">
      <c r="A52" s="18" t="s">
        <v>354</v>
      </c>
      <c r="B52" s="18" t="s">
        <v>355</v>
      </c>
      <c r="C52" s="18" t="s">
        <v>356</v>
      </c>
      <c r="D52" s="18" t="s">
        <v>357</v>
      </c>
      <c r="E52" s="19" t="s">
        <v>257</v>
      </c>
      <c r="F52" s="19" t="s">
        <v>258</v>
      </c>
      <c r="G52" s="19" t="s">
        <v>259</v>
      </c>
      <c r="H52" s="19" t="s">
        <v>250</v>
      </c>
      <c r="I52" s="19" t="s">
        <v>243</v>
      </c>
      <c r="J52" s="19" t="s">
        <v>260</v>
      </c>
      <c r="K52" s="19" t="s">
        <v>254</v>
      </c>
      <c r="L52" s="19">
        <v>160</v>
      </c>
      <c r="M52" s="19">
        <v>147.51</v>
      </c>
      <c r="N52" s="19">
        <v>55.3</v>
      </c>
      <c r="O52" s="19">
        <v>176.28</v>
      </c>
      <c r="P52" s="19" t="s">
        <v>368</v>
      </c>
      <c r="Q52" s="19">
        <v>2.53878</v>
      </c>
      <c r="R52" s="19">
        <v>90</v>
      </c>
      <c r="S52" s="19">
        <v>0</v>
      </c>
      <c r="T52" s="19">
        <v>0</v>
      </c>
      <c r="U52" s="19">
        <v>2473</v>
      </c>
      <c r="V52" s="19">
        <v>2473</v>
      </c>
      <c r="W52" s="19">
        <v>39</v>
      </c>
      <c r="X52" s="19">
        <v>54.7</v>
      </c>
      <c r="Y52" s="19">
        <v>13.2</v>
      </c>
      <c r="Z52" s="19">
        <v>13.3</v>
      </c>
      <c r="AA52" s="19">
        <v>0</v>
      </c>
      <c r="AB52" s="19">
        <v>0</v>
      </c>
      <c r="AC52" s="19" t="s">
        <v>369</v>
      </c>
      <c r="AD52" s="19">
        <v>0</v>
      </c>
      <c r="AE52" s="19">
        <v>0</v>
      </c>
    </row>
    <row r="53" spans="1:31" x14ac:dyDescent="0.45">
      <c r="A53" s="18" t="s">
        <v>354</v>
      </c>
      <c r="B53" s="18" t="s">
        <v>355</v>
      </c>
      <c r="C53" s="18" t="s">
        <v>356</v>
      </c>
      <c r="D53" s="18" t="s">
        <v>357</v>
      </c>
      <c r="E53" s="19" t="s">
        <v>257</v>
      </c>
      <c r="F53" s="19" t="s">
        <v>269</v>
      </c>
      <c r="G53" s="19" t="s">
        <v>259</v>
      </c>
      <c r="H53" s="19" t="s">
        <v>250</v>
      </c>
      <c r="I53" s="19" t="s">
        <v>243</v>
      </c>
      <c r="J53" s="19" t="s">
        <v>273</v>
      </c>
      <c r="K53" s="19" t="s">
        <v>251</v>
      </c>
      <c r="L53" s="19">
        <v>200</v>
      </c>
      <c r="M53" s="19">
        <v>428.83</v>
      </c>
      <c r="N53" s="19">
        <v>128.6</v>
      </c>
      <c r="O53" s="19">
        <v>327.86</v>
      </c>
      <c r="P53" s="19" t="s">
        <v>370</v>
      </c>
      <c r="Q53" s="19">
        <v>5.7673800000000002</v>
      </c>
      <c r="R53" s="19">
        <v>125</v>
      </c>
      <c r="S53" s="19">
        <v>0</v>
      </c>
      <c r="T53" s="19">
        <v>0</v>
      </c>
      <c r="U53" s="19">
        <v>2473</v>
      </c>
      <c r="V53" s="19">
        <v>2473</v>
      </c>
      <c r="W53" s="19">
        <v>41.8</v>
      </c>
      <c r="X53" s="19">
        <v>57.8</v>
      </c>
      <c r="Y53" s="19">
        <v>13.4</v>
      </c>
      <c r="Z53" s="19">
        <v>13.4</v>
      </c>
      <c r="AA53" s="19">
        <v>0</v>
      </c>
      <c r="AB53" s="19">
        <v>0</v>
      </c>
      <c r="AC53" s="19" t="s">
        <v>371</v>
      </c>
      <c r="AD53" s="19">
        <v>0</v>
      </c>
      <c r="AE53" s="19">
        <v>0</v>
      </c>
    </row>
    <row r="54" spans="1:31" x14ac:dyDescent="0.45">
      <c r="A54" s="18" t="s">
        <v>354</v>
      </c>
      <c r="B54" s="18" t="s">
        <v>355</v>
      </c>
      <c r="C54" s="18" t="s">
        <v>356</v>
      </c>
      <c r="D54" s="18" t="s">
        <v>357</v>
      </c>
      <c r="E54" s="19" t="s">
        <v>257</v>
      </c>
      <c r="F54" s="19" t="s">
        <v>269</v>
      </c>
      <c r="G54" s="19" t="s">
        <v>259</v>
      </c>
      <c r="H54" s="19" t="s">
        <v>250</v>
      </c>
      <c r="I54" s="19" t="s">
        <v>243</v>
      </c>
      <c r="J54" s="19" t="s">
        <v>273</v>
      </c>
      <c r="K54" s="19" t="s">
        <v>254</v>
      </c>
      <c r="L54" s="19">
        <v>80</v>
      </c>
      <c r="M54" s="19">
        <v>75.12</v>
      </c>
      <c r="N54" s="19">
        <v>56.3</v>
      </c>
      <c r="O54" s="19">
        <v>144.32</v>
      </c>
      <c r="P54" s="19" t="s">
        <v>372</v>
      </c>
      <c r="Q54" s="19">
        <v>2.49865</v>
      </c>
      <c r="R54" s="19">
        <v>75</v>
      </c>
      <c r="S54" s="19">
        <v>0</v>
      </c>
      <c r="T54" s="19">
        <v>0</v>
      </c>
      <c r="U54" s="19">
        <v>2473</v>
      </c>
      <c r="V54" s="19">
        <v>2473</v>
      </c>
      <c r="W54" s="19">
        <v>26.3</v>
      </c>
      <c r="X54" s="19">
        <v>51.8</v>
      </c>
      <c r="Y54" s="19">
        <v>13.4</v>
      </c>
      <c r="Z54" s="19">
        <v>13.4</v>
      </c>
      <c r="AA54" s="19">
        <v>0</v>
      </c>
      <c r="AB54" s="19">
        <v>0</v>
      </c>
      <c r="AC54" s="19" t="s">
        <v>373</v>
      </c>
      <c r="AD54" s="19">
        <v>0</v>
      </c>
      <c r="AE54" s="19">
        <v>0</v>
      </c>
    </row>
    <row r="55" spans="1:31" x14ac:dyDescent="0.45">
      <c r="A55" s="18" t="s">
        <v>354</v>
      </c>
      <c r="B55" s="18" t="s">
        <v>355</v>
      </c>
      <c r="C55" s="18" t="s">
        <v>356</v>
      </c>
      <c r="D55" s="18" t="s">
        <v>357</v>
      </c>
      <c r="E55" s="19" t="s">
        <v>257</v>
      </c>
      <c r="F55" s="19" t="s">
        <v>258</v>
      </c>
      <c r="G55" s="19" t="s">
        <v>206</v>
      </c>
      <c r="H55" s="19" t="s">
        <v>250</v>
      </c>
      <c r="I55" s="19" t="s">
        <v>243</v>
      </c>
      <c r="J55" s="19" t="s">
        <v>260</v>
      </c>
      <c r="K55" s="19" t="s">
        <v>251</v>
      </c>
      <c r="L55" s="19">
        <v>200</v>
      </c>
      <c r="M55" s="19">
        <v>428.83</v>
      </c>
      <c r="N55" s="19">
        <v>128.6</v>
      </c>
      <c r="O55" s="19">
        <v>328.31</v>
      </c>
      <c r="P55" s="19" t="s">
        <v>374</v>
      </c>
      <c r="Q55" s="19">
        <v>4.9981900000000001</v>
      </c>
      <c r="R55" s="19">
        <v>115</v>
      </c>
      <c r="S55" s="19">
        <v>93.8</v>
      </c>
      <c r="T55" s="19">
        <v>99</v>
      </c>
      <c r="U55" s="19">
        <v>7087</v>
      </c>
      <c r="V55" s="19">
        <v>7087</v>
      </c>
      <c r="W55" s="19">
        <v>30.2</v>
      </c>
      <c r="X55" s="19">
        <v>43.7</v>
      </c>
      <c r="Y55" s="19">
        <v>13.3</v>
      </c>
      <c r="Z55" s="19">
        <v>13.4</v>
      </c>
      <c r="AA55" s="19">
        <v>0</v>
      </c>
      <c r="AB55" s="19">
        <v>0</v>
      </c>
      <c r="AC55" s="19" t="s">
        <v>375</v>
      </c>
      <c r="AD55" s="19">
        <v>0</v>
      </c>
      <c r="AE55" s="19">
        <v>0</v>
      </c>
    </row>
    <row r="56" spans="1:31" x14ac:dyDescent="0.45">
      <c r="A56" s="18" t="s">
        <v>354</v>
      </c>
      <c r="B56" s="18" t="s">
        <v>355</v>
      </c>
      <c r="C56" s="18" t="s">
        <v>356</v>
      </c>
      <c r="D56" s="18" t="s">
        <v>357</v>
      </c>
      <c r="E56" s="19" t="s">
        <v>257</v>
      </c>
      <c r="F56" s="19" t="s">
        <v>258</v>
      </c>
      <c r="G56" s="19" t="s">
        <v>206</v>
      </c>
      <c r="H56" s="19" t="s">
        <v>250</v>
      </c>
      <c r="I56" s="19" t="s">
        <v>243</v>
      </c>
      <c r="J56" s="19" t="s">
        <v>260</v>
      </c>
      <c r="K56" s="19" t="s">
        <v>254</v>
      </c>
      <c r="L56" s="19">
        <v>80</v>
      </c>
      <c r="M56" s="19">
        <v>75.12</v>
      </c>
      <c r="N56" s="19">
        <v>56.3</v>
      </c>
      <c r="O56" s="19">
        <v>101.33</v>
      </c>
      <c r="P56" s="19" t="s">
        <v>376</v>
      </c>
      <c r="Q56" s="19">
        <v>2.43283</v>
      </c>
      <c r="R56" s="19">
        <v>80</v>
      </c>
      <c r="S56" s="19">
        <v>68.8</v>
      </c>
      <c r="T56" s="19">
        <v>99</v>
      </c>
      <c r="U56" s="19">
        <v>7087</v>
      </c>
      <c r="V56" s="19">
        <v>7087</v>
      </c>
      <c r="W56" s="19">
        <v>25.6</v>
      </c>
      <c r="X56" s="19">
        <v>47</v>
      </c>
      <c r="Y56" s="19">
        <v>13.3</v>
      </c>
      <c r="Z56" s="19">
        <v>13.4</v>
      </c>
      <c r="AA56" s="19">
        <v>0</v>
      </c>
      <c r="AB56" s="19">
        <v>0</v>
      </c>
      <c r="AC56" s="19" t="s">
        <v>377</v>
      </c>
      <c r="AD56" s="19">
        <v>0</v>
      </c>
      <c r="AE56" s="19">
        <v>0</v>
      </c>
    </row>
    <row r="57" spans="1:31" x14ac:dyDescent="0.45">
      <c r="A57" s="18" t="s">
        <v>354</v>
      </c>
      <c r="B57" s="18" t="s">
        <v>355</v>
      </c>
      <c r="C57" s="18" t="s">
        <v>356</v>
      </c>
      <c r="D57" s="18" t="s">
        <v>357</v>
      </c>
      <c r="E57" s="19" t="s">
        <v>257</v>
      </c>
      <c r="F57" s="19" t="s">
        <v>269</v>
      </c>
      <c r="G57" s="19" t="s">
        <v>206</v>
      </c>
      <c r="H57" s="19" t="s">
        <v>250</v>
      </c>
      <c r="I57" s="19" t="s">
        <v>243</v>
      </c>
      <c r="J57" s="19" t="s">
        <v>270</v>
      </c>
      <c r="K57" s="19" t="s">
        <v>251</v>
      </c>
      <c r="L57" s="19">
        <v>200</v>
      </c>
      <c r="M57" s="19">
        <v>428.8</v>
      </c>
      <c r="N57" s="19">
        <v>128.6</v>
      </c>
      <c r="O57" s="19">
        <v>330.8</v>
      </c>
      <c r="P57" s="19" t="s">
        <v>378</v>
      </c>
      <c r="Q57" s="19">
        <v>5.0030000000000001</v>
      </c>
      <c r="R57" s="19">
        <v>165</v>
      </c>
      <c r="S57" s="19">
        <v>63.7</v>
      </c>
      <c r="T57" s="19">
        <v>99</v>
      </c>
      <c r="U57" s="19">
        <v>7087</v>
      </c>
      <c r="V57" s="19">
        <v>7087</v>
      </c>
      <c r="W57" s="19">
        <v>25.5</v>
      </c>
      <c r="X57" s="19">
        <v>42.7</v>
      </c>
      <c r="Y57" s="19">
        <v>13.5</v>
      </c>
      <c r="Z57" s="19">
        <v>13.6</v>
      </c>
      <c r="AA57" s="19">
        <v>0</v>
      </c>
      <c r="AB57" s="19">
        <v>0</v>
      </c>
      <c r="AC57" s="19" t="s">
        <v>379</v>
      </c>
      <c r="AD57" s="19">
        <v>0</v>
      </c>
      <c r="AE57" s="19">
        <v>0</v>
      </c>
    </row>
    <row r="58" spans="1:31" x14ac:dyDescent="0.45">
      <c r="A58" s="18" t="s">
        <v>354</v>
      </c>
      <c r="B58" s="18" t="s">
        <v>355</v>
      </c>
      <c r="C58" s="18" t="s">
        <v>356</v>
      </c>
      <c r="D58" s="18" t="s">
        <v>357</v>
      </c>
      <c r="E58" s="19" t="s">
        <v>257</v>
      </c>
      <c r="F58" s="19" t="s">
        <v>269</v>
      </c>
      <c r="G58" s="19" t="s">
        <v>206</v>
      </c>
      <c r="H58" s="19" t="s">
        <v>250</v>
      </c>
      <c r="I58" s="19" t="s">
        <v>243</v>
      </c>
      <c r="J58" s="19" t="s">
        <v>273</v>
      </c>
      <c r="K58" s="19" t="s">
        <v>251</v>
      </c>
      <c r="L58" s="19">
        <v>200</v>
      </c>
      <c r="M58" s="19">
        <v>428.83</v>
      </c>
      <c r="N58" s="19">
        <v>128.6</v>
      </c>
      <c r="O58" s="19">
        <v>188.66</v>
      </c>
      <c r="P58" s="19" t="s">
        <v>380</v>
      </c>
      <c r="Q58" s="19">
        <v>3.2276099999999999</v>
      </c>
      <c r="R58" s="19">
        <v>200</v>
      </c>
      <c r="S58" s="19">
        <v>86.4</v>
      </c>
      <c r="T58" s="19">
        <v>99</v>
      </c>
      <c r="U58" s="19">
        <v>7087</v>
      </c>
      <c r="V58" s="19">
        <v>7087</v>
      </c>
      <c r="W58" s="19">
        <v>33.6</v>
      </c>
      <c r="X58" s="19">
        <v>41.7</v>
      </c>
      <c r="Y58" s="19">
        <v>13.5</v>
      </c>
      <c r="Z58" s="19">
        <v>13.6</v>
      </c>
      <c r="AA58" s="19">
        <v>0</v>
      </c>
      <c r="AB58" s="19">
        <v>0</v>
      </c>
      <c r="AC58" s="19" t="s">
        <v>381</v>
      </c>
      <c r="AD58" s="19">
        <v>0</v>
      </c>
      <c r="AE58" s="19">
        <v>0</v>
      </c>
    </row>
    <row r="59" spans="1:31" x14ac:dyDescent="0.45">
      <c r="A59" s="18" t="s">
        <v>354</v>
      </c>
      <c r="B59" s="18" t="s">
        <v>355</v>
      </c>
      <c r="C59" s="18" t="s">
        <v>356</v>
      </c>
      <c r="D59" s="18" t="s">
        <v>357</v>
      </c>
      <c r="E59" s="19" t="s">
        <v>276</v>
      </c>
      <c r="F59" s="19" t="s">
        <v>269</v>
      </c>
      <c r="G59" s="19" t="s">
        <v>206</v>
      </c>
      <c r="H59" s="19" t="s">
        <v>242</v>
      </c>
      <c r="I59" s="19" t="s">
        <v>243</v>
      </c>
      <c r="J59" s="19" t="s">
        <v>71</v>
      </c>
      <c r="K59" s="19" t="s">
        <v>277</v>
      </c>
      <c r="L59" s="19">
        <v>4</v>
      </c>
      <c r="M59" s="19">
        <v>5.56</v>
      </c>
      <c r="N59" s="19">
        <v>83.4</v>
      </c>
      <c r="O59" s="19">
        <v>11.8</v>
      </c>
      <c r="P59" s="19" t="s">
        <v>382</v>
      </c>
      <c r="Q59" s="19">
        <v>0</v>
      </c>
      <c r="R59" s="19">
        <v>4</v>
      </c>
      <c r="S59" s="19">
        <v>56.3</v>
      </c>
      <c r="T59" s="19">
        <v>100</v>
      </c>
      <c r="U59" s="19">
        <v>9813</v>
      </c>
      <c r="V59" s="19">
        <v>10767</v>
      </c>
      <c r="W59" s="19">
        <v>47.4</v>
      </c>
      <c r="X59" s="19">
        <v>99.7</v>
      </c>
      <c r="Y59" s="19">
        <v>6.4</v>
      </c>
      <c r="Z59" s="19">
        <v>6.5</v>
      </c>
      <c r="AA59" s="19">
        <v>0</v>
      </c>
      <c r="AB59" s="19">
        <v>0</v>
      </c>
      <c r="AC59" s="19" t="s">
        <v>383</v>
      </c>
      <c r="AD59" s="19">
        <v>0</v>
      </c>
      <c r="AE59" s="19">
        <v>0</v>
      </c>
    </row>
    <row r="60" spans="1:31" x14ac:dyDescent="0.45">
      <c r="A60" s="18" t="s">
        <v>354</v>
      </c>
      <c r="B60" s="18" t="s">
        <v>355</v>
      </c>
      <c r="C60" s="18" t="s">
        <v>356</v>
      </c>
      <c r="D60" s="18" t="s">
        <v>357</v>
      </c>
      <c r="E60" s="19" t="s">
        <v>276</v>
      </c>
      <c r="F60" s="19" t="s">
        <v>269</v>
      </c>
      <c r="G60" s="19" t="s">
        <v>206</v>
      </c>
      <c r="H60" s="19" t="s">
        <v>242</v>
      </c>
      <c r="I60" s="19" t="s">
        <v>247</v>
      </c>
      <c r="J60" s="19" t="s">
        <v>71</v>
      </c>
      <c r="K60" s="19" t="s">
        <v>277</v>
      </c>
      <c r="L60" s="19">
        <v>4</v>
      </c>
      <c r="M60" s="19">
        <v>5.56</v>
      </c>
      <c r="N60" s="19">
        <v>83.4</v>
      </c>
      <c r="O60" s="19">
        <v>19</v>
      </c>
      <c r="P60" s="19" t="s">
        <v>384</v>
      </c>
      <c r="Q60" s="19">
        <v>0</v>
      </c>
      <c r="R60" s="19">
        <v>4</v>
      </c>
      <c r="S60" s="19">
        <v>64.2</v>
      </c>
      <c r="T60" s="19">
        <v>100</v>
      </c>
      <c r="U60" s="19">
        <v>12650</v>
      </c>
      <c r="V60" s="19">
        <v>14254</v>
      </c>
      <c r="W60" s="19">
        <v>44.1</v>
      </c>
      <c r="X60" s="19">
        <v>100</v>
      </c>
      <c r="Y60" s="19">
        <v>11</v>
      </c>
      <c r="Z60" s="19">
        <v>11.2</v>
      </c>
      <c r="AA60" s="19">
        <v>0</v>
      </c>
      <c r="AB60" s="19">
        <v>0</v>
      </c>
      <c r="AC60" s="19" t="s">
        <v>385</v>
      </c>
      <c r="AD60" s="19">
        <v>0</v>
      </c>
      <c r="AE60" s="19">
        <v>0</v>
      </c>
    </row>
    <row r="61" spans="1:31" x14ac:dyDescent="0.45">
      <c r="A61" s="18" t="s">
        <v>354</v>
      </c>
      <c r="B61" s="18" t="s">
        <v>355</v>
      </c>
      <c r="C61" s="18" t="s">
        <v>356</v>
      </c>
      <c r="D61" s="18" t="s">
        <v>357</v>
      </c>
      <c r="E61" s="19" t="s">
        <v>276</v>
      </c>
      <c r="F61" s="19" t="s">
        <v>269</v>
      </c>
      <c r="G61" s="19" t="s">
        <v>206</v>
      </c>
      <c r="H61" s="19" t="s">
        <v>250</v>
      </c>
      <c r="I61" s="19" t="s">
        <v>243</v>
      </c>
      <c r="J61" s="19" t="s">
        <v>71</v>
      </c>
      <c r="K61" s="19" t="s">
        <v>277</v>
      </c>
      <c r="L61" s="19">
        <v>8</v>
      </c>
      <c r="M61" s="19">
        <v>10.38</v>
      </c>
      <c r="N61" s="19">
        <v>77.900000000000006</v>
      </c>
      <c r="O61" s="19">
        <v>193.13</v>
      </c>
      <c r="P61" s="19" t="s">
        <v>386</v>
      </c>
      <c r="Q61" s="19">
        <v>2.63015</v>
      </c>
      <c r="R61" s="19">
        <v>5</v>
      </c>
      <c r="S61" s="19">
        <v>25.1</v>
      </c>
      <c r="T61" s="19">
        <v>100</v>
      </c>
      <c r="U61" s="19">
        <v>8842</v>
      </c>
      <c r="V61" s="19">
        <v>9231</v>
      </c>
      <c r="W61" s="19">
        <v>26.5</v>
      </c>
      <c r="X61" s="19">
        <v>100</v>
      </c>
      <c r="Y61" s="19">
        <v>9.3000000000000007</v>
      </c>
      <c r="Z61" s="19">
        <v>9.3000000000000007</v>
      </c>
      <c r="AA61" s="19">
        <v>0</v>
      </c>
      <c r="AB61" s="19">
        <v>0</v>
      </c>
      <c r="AC61" s="19" t="s">
        <v>387</v>
      </c>
      <c r="AD61" s="19">
        <v>0</v>
      </c>
      <c r="AE61" s="19">
        <v>0</v>
      </c>
    </row>
    <row r="62" spans="1:31" x14ac:dyDescent="0.45">
      <c r="A62" s="16" t="s">
        <v>388</v>
      </c>
      <c r="B62" s="16" t="s">
        <v>389</v>
      </c>
      <c r="C62" s="16" t="s">
        <v>285</v>
      </c>
      <c r="D62" s="16" t="s">
        <v>390</v>
      </c>
      <c r="E62" s="17" t="s">
        <v>240</v>
      </c>
      <c r="F62" s="17" t="s">
        <v>241</v>
      </c>
      <c r="G62" s="17" t="s">
        <v>206</v>
      </c>
      <c r="H62" s="17" t="s">
        <v>242</v>
      </c>
      <c r="I62" s="17" t="s">
        <v>243</v>
      </c>
      <c r="J62" s="17" t="s">
        <v>71</v>
      </c>
      <c r="K62" s="17" t="s">
        <v>244</v>
      </c>
      <c r="L62" s="17">
        <v>200</v>
      </c>
      <c r="M62" s="17">
        <v>430.4</v>
      </c>
      <c r="N62" s="17">
        <v>129.1</v>
      </c>
      <c r="O62" s="17">
        <v>169.2</v>
      </c>
      <c r="P62" s="17" t="s">
        <v>391</v>
      </c>
      <c r="Q62" s="17">
        <v>3.0768</v>
      </c>
      <c r="R62" s="17">
        <v>4</v>
      </c>
      <c r="S62" s="17">
        <v>3.7</v>
      </c>
      <c r="T62" s="17">
        <v>51</v>
      </c>
      <c r="U62" s="17">
        <v>23028</v>
      </c>
      <c r="V62" s="17">
        <v>28145</v>
      </c>
      <c r="W62" s="17">
        <v>10.199999999999999</v>
      </c>
      <c r="X62" s="17">
        <v>24</v>
      </c>
      <c r="Y62" s="17">
        <v>17.8</v>
      </c>
      <c r="Z62" s="17">
        <v>20.100000000000001</v>
      </c>
      <c r="AA62" s="17">
        <v>0</v>
      </c>
      <c r="AB62" s="17">
        <v>0.6</v>
      </c>
      <c r="AC62" s="17" t="s">
        <v>392</v>
      </c>
      <c r="AD62" s="17">
        <v>0</v>
      </c>
      <c r="AE62" s="17">
        <v>0</v>
      </c>
    </row>
    <row r="63" spans="1:31" x14ac:dyDescent="0.45">
      <c r="A63" s="16" t="s">
        <v>388</v>
      </c>
      <c r="B63" s="16" t="s">
        <v>389</v>
      </c>
      <c r="C63" s="16" t="s">
        <v>285</v>
      </c>
      <c r="D63" s="16" t="s">
        <v>390</v>
      </c>
      <c r="E63" s="17" t="s">
        <v>240</v>
      </c>
      <c r="F63" s="17" t="s">
        <v>241</v>
      </c>
      <c r="G63" s="17" t="s">
        <v>206</v>
      </c>
      <c r="H63" s="17" t="s">
        <v>242</v>
      </c>
      <c r="I63" s="17" t="s">
        <v>247</v>
      </c>
      <c r="J63" s="17" t="s">
        <v>71</v>
      </c>
      <c r="K63" s="17" t="s">
        <v>244</v>
      </c>
      <c r="L63" s="17">
        <v>200</v>
      </c>
      <c r="M63" s="17">
        <v>430.4</v>
      </c>
      <c r="N63" s="17">
        <v>129.1</v>
      </c>
      <c r="O63" s="17">
        <v>234.18</v>
      </c>
      <c r="P63" s="17" t="s">
        <v>393</v>
      </c>
      <c r="Q63" s="17">
        <v>4.3677999999999999</v>
      </c>
      <c r="R63" s="17">
        <v>4</v>
      </c>
      <c r="S63" s="17">
        <v>3.9</v>
      </c>
      <c r="T63" s="17">
        <v>57</v>
      </c>
      <c r="U63" s="17">
        <v>28489</v>
      </c>
      <c r="V63" s="17">
        <v>28489</v>
      </c>
      <c r="W63" s="17">
        <v>7</v>
      </c>
      <c r="X63" s="17">
        <v>20.3</v>
      </c>
      <c r="Y63" s="17">
        <v>20.9</v>
      </c>
      <c r="Z63" s="17">
        <v>21.7</v>
      </c>
      <c r="AA63" s="17">
        <v>0</v>
      </c>
      <c r="AB63" s="17">
        <v>1.7</v>
      </c>
      <c r="AC63" s="17" t="s">
        <v>394</v>
      </c>
      <c r="AD63" s="17">
        <v>0</v>
      </c>
      <c r="AE63" s="17">
        <v>0</v>
      </c>
    </row>
    <row r="64" spans="1:31" x14ac:dyDescent="0.45">
      <c r="A64" s="16" t="s">
        <v>388</v>
      </c>
      <c r="B64" s="16" t="s">
        <v>389</v>
      </c>
      <c r="C64" s="16" t="s">
        <v>285</v>
      </c>
      <c r="D64" s="16" t="s">
        <v>390</v>
      </c>
      <c r="E64" s="17" t="s">
        <v>240</v>
      </c>
      <c r="F64" s="17" t="s">
        <v>241</v>
      </c>
      <c r="G64" s="17" t="s">
        <v>206</v>
      </c>
      <c r="H64" s="17" t="s">
        <v>250</v>
      </c>
      <c r="I64" s="17" t="s">
        <v>243</v>
      </c>
      <c r="J64" s="17" t="s">
        <v>71</v>
      </c>
      <c r="K64" s="17" t="s">
        <v>251</v>
      </c>
      <c r="L64" s="17">
        <v>200</v>
      </c>
      <c r="M64" s="17">
        <v>429.58</v>
      </c>
      <c r="N64" s="17">
        <v>128.9</v>
      </c>
      <c r="O64" s="17">
        <v>313.04000000000002</v>
      </c>
      <c r="P64" s="17" t="s">
        <v>395</v>
      </c>
      <c r="Q64" s="17">
        <v>5.0053200000000002</v>
      </c>
      <c r="R64" s="17">
        <v>175</v>
      </c>
      <c r="S64" s="17">
        <v>8.5</v>
      </c>
      <c r="T64" s="17">
        <v>99</v>
      </c>
      <c r="U64" s="17">
        <v>28497</v>
      </c>
      <c r="V64" s="17">
        <v>28497</v>
      </c>
      <c r="W64" s="17">
        <v>11</v>
      </c>
      <c r="X64" s="17">
        <v>59.3</v>
      </c>
      <c r="Y64" s="17">
        <v>22.1</v>
      </c>
      <c r="Z64" s="17">
        <v>22.1</v>
      </c>
      <c r="AA64" s="17">
        <v>0</v>
      </c>
      <c r="AB64" s="17">
        <v>0.5</v>
      </c>
      <c r="AC64" s="17" t="s">
        <v>396</v>
      </c>
      <c r="AD64" s="17">
        <v>0</v>
      </c>
      <c r="AE64" s="17">
        <v>0</v>
      </c>
    </row>
    <row r="65" spans="1:31" x14ac:dyDescent="0.45">
      <c r="A65" s="16" t="s">
        <v>388</v>
      </c>
      <c r="B65" s="16" t="s">
        <v>389</v>
      </c>
      <c r="C65" s="16" t="s">
        <v>285</v>
      </c>
      <c r="D65" s="16" t="s">
        <v>390</v>
      </c>
      <c r="E65" s="17" t="s">
        <v>240</v>
      </c>
      <c r="F65" s="17" t="s">
        <v>241</v>
      </c>
      <c r="G65" s="17" t="s">
        <v>206</v>
      </c>
      <c r="H65" s="17" t="s">
        <v>250</v>
      </c>
      <c r="I65" s="17" t="s">
        <v>243</v>
      </c>
      <c r="J65" s="17" t="s">
        <v>71</v>
      </c>
      <c r="K65" s="17" t="s">
        <v>254</v>
      </c>
      <c r="L65" s="17">
        <v>240</v>
      </c>
      <c r="M65" s="17">
        <v>225.92</v>
      </c>
      <c r="N65" s="17">
        <v>56.5</v>
      </c>
      <c r="O65" s="17">
        <v>155.44999999999999</v>
      </c>
      <c r="P65" s="17" t="s">
        <v>397</v>
      </c>
      <c r="Q65" s="17">
        <v>2.33473</v>
      </c>
      <c r="R65" s="17">
        <v>185</v>
      </c>
      <c r="S65" s="17">
        <v>7.8</v>
      </c>
      <c r="T65" s="17">
        <v>98</v>
      </c>
      <c r="U65" s="17">
        <v>28497</v>
      </c>
      <c r="V65" s="17">
        <v>28497</v>
      </c>
      <c r="W65" s="17">
        <v>12.7</v>
      </c>
      <c r="X65" s="17">
        <v>36.1</v>
      </c>
      <c r="Y65" s="17">
        <v>22.1</v>
      </c>
      <c r="Z65" s="17">
        <v>22.2</v>
      </c>
      <c r="AA65" s="17">
        <v>0</v>
      </c>
      <c r="AB65" s="17">
        <v>0.5</v>
      </c>
      <c r="AC65" s="17" t="s">
        <v>398</v>
      </c>
      <c r="AD65" s="17">
        <v>0</v>
      </c>
      <c r="AE65" s="17">
        <v>0</v>
      </c>
    </row>
    <row r="66" spans="1:31" x14ac:dyDescent="0.45">
      <c r="A66" s="16" t="s">
        <v>388</v>
      </c>
      <c r="B66" s="16" t="s">
        <v>389</v>
      </c>
      <c r="C66" s="16" t="s">
        <v>285</v>
      </c>
      <c r="D66" s="16" t="s">
        <v>390</v>
      </c>
      <c r="E66" s="17" t="s">
        <v>257</v>
      </c>
      <c r="F66" s="17" t="s">
        <v>269</v>
      </c>
      <c r="G66" s="17" t="s">
        <v>259</v>
      </c>
      <c r="H66" s="17" t="s">
        <v>295</v>
      </c>
      <c r="I66" s="17" t="s">
        <v>243</v>
      </c>
      <c r="J66" s="17" t="s">
        <v>273</v>
      </c>
      <c r="K66" s="17" t="s">
        <v>244</v>
      </c>
      <c r="L66" s="17">
        <v>200</v>
      </c>
      <c r="M66" s="17">
        <v>428.83</v>
      </c>
      <c r="N66" s="17">
        <v>128.6</v>
      </c>
      <c r="O66" s="17">
        <v>700.82</v>
      </c>
      <c r="P66" s="17" t="s">
        <v>399</v>
      </c>
      <c r="Q66" s="17">
        <v>13.64608</v>
      </c>
      <c r="R66" s="17">
        <v>4</v>
      </c>
      <c r="S66" s="17">
        <v>0</v>
      </c>
      <c r="T66" s="17">
        <v>0</v>
      </c>
      <c r="U66" s="17">
        <v>14930</v>
      </c>
      <c r="V66" s="17">
        <v>14930</v>
      </c>
      <c r="W66" s="17">
        <v>16.3</v>
      </c>
      <c r="X66" s="17">
        <v>28.7</v>
      </c>
      <c r="Y66" s="17">
        <v>18.2</v>
      </c>
      <c r="Z66" s="17">
        <v>18.3</v>
      </c>
      <c r="AA66" s="17">
        <v>0</v>
      </c>
      <c r="AB66" s="17">
        <v>1.7</v>
      </c>
      <c r="AC66" s="17" t="s">
        <v>400</v>
      </c>
      <c r="AD66" s="17">
        <v>0</v>
      </c>
      <c r="AE66" s="17">
        <v>0</v>
      </c>
    </row>
    <row r="67" spans="1:31" x14ac:dyDescent="0.45">
      <c r="A67" s="16" t="s">
        <v>388</v>
      </c>
      <c r="B67" s="16" t="s">
        <v>389</v>
      </c>
      <c r="C67" s="16" t="s">
        <v>285</v>
      </c>
      <c r="D67" s="16" t="s">
        <v>390</v>
      </c>
      <c r="E67" s="17" t="s">
        <v>257</v>
      </c>
      <c r="F67" s="17" t="s">
        <v>258</v>
      </c>
      <c r="G67" s="17" t="s">
        <v>259</v>
      </c>
      <c r="H67" s="17" t="s">
        <v>250</v>
      </c>
      <c r="I67" s="17" t="s">
        <v>243</v>
      </c>
      <c r="J67" s="17" t="s">
        <v>260</v>
      </c>
      <c r="K67" s="17" t="s">
        <v>251</v>
      </c>
      <c r="L67" s="17">
        <v>200</v>
      </c>
      <c r="M67" s="17">
        <v>428.83</v>
      </c>
      <c r="N67" s="17">
        <v>128.6</v>
      </c>
      <c r="O67" s="17">
        <v>467.89</v>
      </c>
      <c r="P67" s="17" t="s">
        <v>401</v>
      </c>
      <c r="Q67" s="17">
        <v>3.3457300000000001</v>
      </c>
      <c r="R67" s="17">
        <v>80</v>
      </c>
      <c r="S67" s="17">
        <v>0</v>
      </c>
      <c r="T67" s="17">
        <v>0</v>
      </c>
      <c r="U67" s="17">
        <v>14930</v>
      </c>
      <c r="V67" s="17">
        <v>14930</v>
      </c>
      <c r="W67" s="17">
        <v>31.9</v>
      </c>
      <c r="X67" s="17">
        <v>47.9</v>
      </c>
      <c r="Y67" s="17">
        <v>18.100000000000001</v>
      </c>
      <c r="Z67" s="17">
        <v>18.2</v>
      </c>
      <c r="AA67" s="17">
        <v>0</v>
      </c>
      <c r="AB67" s="17">
        <v>1.6</v>
      </c>
      <c r="AC67" s="17" t="s">
        <v>402</v>
      </c>
      <c r="AD67" s="17">
        <v>0</v>
      </c>
      <c r="AE67" s="17">
        <v>0</v>
      </c>
    </row>
    <row r="68" spans="1:31" x14ac:dyDescent="0.45">
      <c r="A68" s="16" t="s">
        <v>388</v>
      </c>
      <c r="B68" s="16" t="s">
        <v>389</v>
      </c>
      <c r="C68" s="16" t="s">
        <v>285</v>
      </c>
      <c r="D68" s="16" t="s">
        <v>390</v>
      </c>
      <c r="E68" s="17" t="s">
        <v>257</v>
      </c>
      <c r="F68" s="17" t="s">
        <v>258</v>
      </c>
      <c r="G68" s="17" t="s">
        <v>259</v>
      </c>
      <c r="H68" s="17" t="s">
        <v>250</v>
      </c>
      <c r="I68" s="17" t="s">
        <v>243</v>
      </c>
      <c r="J68" s="17" t="s">
        <v>260</v>
      </c>
      <c r="K68" s="17" t="s">
        <v>254</v>
      </c>
      <c r="L68" s="17">
        <v>80</v>
      </c>
      <c r="M68" s="17">
        <v>75.12</v>
      </c>
      <c r="N68" s="17">
        <v>56.3</v>
      </c>
      <c r="O68" s="17">
        <v>99.6</v>
      </c>
      <c r="P68" s="17" t="s">
        <v>401</v>
      </c>
      <c r="Q68" s="17">
        <v>1.3497600000000001</v>
      </c>
      <c r="R68" s="17">
        <v>80</v>
      </c>
      <c r="S68" s="17">
        <v>0</v>
      </c>
      <c r="T68" s="17">
        <v>0</v>
      </c>
      <c r="U68" s="17">
        <v>14930</v>
      </c>
      <c r="V68" s="17">
        <v>14930</v>
      </c>
      <c r="W68" s="17">
        <v>28.2</v>
      </c>
      <c r="X68" s="17">
        <v>45.4</v>
      </c>
      <c r="Y68" s="17">
        <v>18.2</v>
      </c>
      <c r="Z68" s="17">
        <v>18.2</v>
      </c>
      <c r="AA68" s="17">
        <v>0</v>
      </c>
      <c r="AB68" s="17">
        <v>1.7</v>
      </c>
      <c r="AC68" s="17" t="s">
        <v>403</v>
      </c>
      <c r="AD68" s="17">
        <v>0</v>
      </c>
      <c r="AE68" s="17">
        <v>0</v>
      </c>
    </row>
    <row r="69" spans="1:31" x14ac:dyDescent="0.45">
      <c r="A69" s="16" t="s">
        <v>388</v>
      </c>
      <c r="B69" s="16" t="s">
        <v>389</v>
      </c>
      <c r="C69" s="16" t="s">
        <v>285</v>
      </c>
      <c r="D69" s="16" t="s">
        <v>390</v>
      </c>
      <c r="E69" s="17" t="s">
        <v>257</v>
      </c>
      <c r="F69" s="17" t="s">
        <v>269</v>
      </c>
      <c r="G69" s="17" t="s">
        <v>259</v>
      </c>
      <c r="H69" s="17" t="s">
        <v>250</v>
      </c>
      <c r="I69" s="17" t="s">
        <v>243</v>
      </c>
      <c r="J69" s="17" t="s">
        <v>273</v>
      </c>
      <c r="K69" s="17" t="s">
        <v>251</v>
      </c>
      <c r="L69" s="17">
        <v>200</v>
      </c>
      <c r="M69" s="17">
        <v>428.83</v>
      </c>
      <c r="N69" s="17">
        <v>128.6</v>
      </c>
      <c r="O69" s="17">
        <v>319.63</v>
      </c>
      <c r="P69" s="17" t="s">
        <v>404</v>
      </c>
      <c r="Q69" s="17">
        <v>3.0736599999999998</v>
      </c>
      <c r="R69" s="17">
        <v>105</v>
      </c>
      <c r="S69" s="17">
        <v>0</v>
      </c>
      <c r="T69" s="17">
        <v>0</v>
      </c>
      <c r="U69" s="17">
        <v>14930</v>
      </c>
      <c r="V69" s="17">
        <v>14930</v>
      </c>
      <c r="W69" s="17">
        <v>35.4</v>
      </c>
      <c r="X69" s="17">
        <v>48.3</v>
      </c>
      <c r="Y69" s="17">
        <v>18.3</v>
      </c>
      <c r="Z69" s="17">
        <v>18.3</v>
      </c>
      <c r="AA69" s="17">
        <v>0</v>
      </c>
      <c r="AB69" s="17">
        <v>1.5</v>
      </c>
      <c r="AC69" s="17" t="s">
        <v>405</v>
      </c>
      <c r="AD69" s="17">
        <v>0</v>
      </c>
      <c r="AE69" s="17">
        <v>0</v>
      </c>
    </row>
    <row r="70" spans="1:31" x14ac:dyDescent="0.45">
      <c r="A70" s="16" t="s">
        <v>388</v>
      </c>
      <c r="B70" s="16" t="s">
        <v>389</v>
      </c>
      <c r="C70" s="16" t="s">
        <v>285</v>
      </c>
      <c r="D70" s="16" t="s">
        <v>390</v>
      </c>
      <c r="E70" s="17" t="s">
        <v>257</v>
      </c>
      <c r="F70" s="17" t="s">
        <v>269</v>
      </c>
      <c r="G70" s="17" t="s">
        <v>259</v>
      </c>
      <c r="H70" s="17" t="s">
        <v>250</v>
      </c>
      <c r="I70" s="17" t="s">
        <v>243</v>
      </c>
      <c r="J70" s="17" t="s">
        <v>273</v>
      </c>
      <c r="K70" s="17" t="s">
        <v>254</v>
      </c>
      <c r="L70" s="17">
        <v>160</v>
      </c>
      <c r="M70" s="17">
        <v>146.99</v>
      </c>
      <c r="N70" s="17">
        <v>55.1</v>
      </c>
      <c r="O70" s="17">
        <v>156.35</v>
      </c>
      <c r="P70" s="17" t="s">
        <v>406</v>
      </c>
      <c r="Q70" s="17">
        <v>1.75214</v>
      </c>
      <c r="R70" s="17">
        <v>105</v>
      </c>
      <c r="S70" s="17">
        <v>0</v>
      </c>
      <c r="T70" s="17">
        <v>0</v>
      </c>
      <c r="U70" s="17">
        <v>14930</v>
      </c>
      <c r="V70" s="17">
        <v>14930</v>
      </c>
      <c r="W70" s="17">
        <v>27.9</v>
      </c>
      <c r="X70" s="17">
        <v>46.7</v>
      </c>
      <c r="Y70" s="17">
        <v>18.3</v>
      </c>
      <c r="Z70" s="17">
        <v>18.3</v>
      </c>
      <c r="AA70" s="17">
        <v>0</v>
      </c>
      <c r="AB70" s="17">
        <v>1.3</v>
      </c>
      <c r="AC70" s="17" t="s">
        <v>407</v>
      </c>
      <c r="AD70" s="17">
        <v>0</v>
      </c>
      <c r="AE70" s="17">
        <v>0</v>
      </c>
    </row>
    <row r="71" spans="1:31" x14ac:dyDescent="0.45">
      <c r="A71" s="16" t="s">
        <v>388</v>
      </c>
      <c r="B71" s="16" t="s">
        <v>389</v>
      </c>
      <c r="C71" s="16" t="s">
        <v>285</v>
      </c>
      <c r="D71" s="16" t="s">
        <v>390</v>
      </c>
      <c r="E71" s="17" t="s">
        <v>257</v>
      </c>
      <c r="F71" s="17" t="s">
        <v>258</v>
      </c>
      <c r="G71" s="17" t="s">
        <v>206</v>
      </c>
      <c r="H71" s="17" t="s">
        <v>250</v>
      </c>
      <c r="I71" s="17" t="s">
        <v>243</v>
      </c>
      <c r="J71" s="17" t="s">
        <v>260</v>
      </c>
      <c r="K71" s="17" t="s">
        <v>251</v>
      </c>
      <c r="L71" s="17">
        <v>200</v>
      </c>
      <c r="M71" s="17">
        <v>428.83</v>
      </c>
      <c r="N71" s="17">
        <v>128.6</v>
      </c>
      <c r="O71" s="17">
        <v>311.52999999999997</v>
      </c>
      <c r="P71" s="17" t="s">
        <v>408</v>
      </c>
      <c r="Q71" s="17">
        <v>2.9899499999999999</v>
      </c>
      <c r="R71" s="17">
        <v>165</v>
      </c>
      <c r="S71" s="17">
        <v>57.7</v>
      </c>
      <c r="T71" s="17">
        <v>97</v>
      </c>
      <c r="U71" s="17">
        <v>19009</v>
      </c>
      <c r="V71" s="17">
        <v>19009</v>
      </c>
      <c r="W71" s="17">
        <v>19.399999999999999</v>
      </c>
      <c r="X71" s="17">
        <v>36.799999999999997</v>
      </c>
      <c r="Y71" s="17">
        <v>18.399999999999999</v>
      </c>
      <c r="Z71" s="17">
        <v>18.399999999999999</v>
      </c>
      <c r="AA71" s="17">
        <v>0</v>
      </c>
      <c r="AB71" s="17">
        <v>1.3</v>
      </c>
      <c r="AC71" s="17" t="s">
        <v>409</v>
      </c>
      <c r="AD71" s="17">
        <v>0</v>
      </c>
      <c r="AE71" s="17">
        <v>0</v>
      </c>
    </row>
    <row r="72" spans="1:31" x14ac:dyDescent="0.45">
      <c r="A72" s="16" t="s">
        <v>388</v>
      </c>
      <c r="B72" s="16" t="s">
        <v>389</v>
      </c>
      <c r="C72" s="16" t="s">
        <v>285</v>
      </c>
      <c r="D72" s="16" t="s">
        <v>390</v>
      </c>
      <c r="E72" s="17" t="s">
        <v>257</v>
      </c>
      <c r="F72" s="17" t="s">
        <v>258</v>
      </c>
      <c r="G72" s="17" t="s">
        <v>206</v>
      </c>
      <c r="H72" s="17" t="s">
        <v>250</v>
      </c>
      <c r="I72" s="17" t="s">
        <v>243</v>
      </c>
      <c r="J72" s="17" t="s">
        <v>260</v>
      </c>
      <c r="K72" s="17" t="s">
        <v>254</v>
      </c>
      <c r="L72" s="17">
        <v>240</v>
      </c>
      <c r="M72" s="17">
        <v>225.27</v>
      </c>
      <c r="N72" s="17">
        <v>56.3</v>
      </c>
      <c r="O72" s="17">
        <v>161.05000000000001</v>
      </c>
      <c r="P72" s="17" t="s">
        <v>410</v>
      </c>
      <c r="Q72" s="17">
        <v>1.7399800000000001</v>
      </c>
      <c r="R72" s="17">
        <v>165</v>
      </c>
      <c r="S72" s="17">
        <v>62</v>
      </c>
      <c r="T72" s="17">
        <v>97</v>
      </c>
      <c r="U72" s="17">
        <v>19009</v>
      </c>
      <c r="V72" s="17">
        <v>19009</v>
      </c>
      <c r="W72" s="17">
        <v>21.2</v>
      </c>
      <c r="X72" s="17">
        <v>64</v>
      </c>
      <c r="Y72" s="17">
        <v>18.399999999999999</v>
      </c>
      <c r="Z72" s="17">
        <v>18.5</v>
      </c>
      <c r="AA72" s="17">
        <v>0</v>
      </c>
      <c r="AB72" s="17">
        <v>1.3</v>
      </c>
      <c r="AC72" s="17" t="s">
        <v>411</v>
      </c>
      <c r="AD72" s="17">
        <v>0</v>
      </c>
      <c r="AE72" s="17">
        <v>0</v>
      </c>
    </row>
    <row r="73" spans="1:31" x14ac:dyDescent="0.45">
      <c r="A73" s="16" t="s">
        <v>388</v>
      </c>
      <c r="B73" s="16" t="s">
        <v>389</v>
      </c>
      <c r="C73" s="16" t="s">
        <v>285</v>
      </c>
      <c r="D73" s="16" t="s">
        <v>390</v>
      </c>
      <c r="E73" s="17" t="s">
        <v>257</v>
      </c>
      <c r="F73" s="17" t="s">
        <v>269</v>
      </c>
      <c r="G73" s="17" t="s">
        <v>206</v>
      </c>
      <c r="H73" s="17" t="s">
        <v>250</v>
      </c>
      <c r="I73" s="17" t="s">
        <v>243</v>
      </c>
      <c r="J73" s="17" t="s">
        <v>270</v>
      </c>
      <c r="K73" s="17" t="s">
        <v>251</v>
      </c>
      <c r="L73" s="17">
        <v>600</v>
      </c>
      <c r="M73" s="17">
        <v>1286.4000000000001</v>
      </c>
      <c r="N73" s="17">
        <v>128.6</v>
      </c>
      <c r="O73" s="17">
        <v>567.24</v>
      </c>
      <c r="P73" s="17" t="s">
        <v>412</v>
      </c>
      <c r="Q73" s="17">
        <v>5.8236499999999998</v>
      </c>
      <c r="R73" s="17">
        <v>180</v>
      </c>
      <c r="S73" s="17">
        <v>80.3</v>
      </c>
      <c r="T73" s="17">
        <v>97</v>
      </c>
      <c r="U73" s="17">
        <v>19009</v>
      </c>
      <c r="V73" s="17">
        <v>19009</v>
      </c>
      <c r="W73" s="17">
        <v>25.4</v>
      </c>
      <c r="X73" s="17">
        <v>49.9</v>
      </c>
      <c r="Y73" s="17">
        <v>18.5</v>
      </c>
      <c r="Z73" s="17">
        <v>18.600000000000001</v>
      </c>
      <c r="AA73" s="17">
        <v>0</v>
      </c>
      <c r="AB73" s="17">
        <v>1.3</v>
      </c>
      <c r="AC73" s="17" t="s">
        <v>413</v>
      </c>
      <c r="AD73" s="17">
        <v>0</v>
      </c>
      <c r="AE73" s="17">
        <v>0</v>
      </c>
    </row>
    <row r="74" spans="1:31" x14ac:dyDescent="0.45">
      <c r="A74" s="16" t="s">
        <v>388</v>
      </c>
      <c r="B74" s="16" t="s">
        <v>389</v>
      </c>
      <c r="C74" s="16" t="s">
        <v>285</v>
      </c>
      <c r="D74" s="16" t="s">
        <v>390</v>
      </c>
      <c r="E74" s="17" t="s">
        <v>257</v>
      </c>
      <c r="F74" s="17" t="s">
        <v>269</v>
      </c>
      <c r="G74" s="17" t="s">
        <v>206</v>
      </c>
      <c r="H74" s="17" t="s">
        <v>250</v>
      </c>
      <c r="I74" s="17" t="s">
        <v>243</v>
      </c>
      <c r="J74" s="17" t="s">
        <v>273</v>
      </c>
      <c r="K74" s="17" t="s">
        <v>251</v>
      </c>
      <c r="L74" s="17">
        <v>590</v>
      </c>
      <c r="M74" s="17">
        <v>1265.21</v>
      </c>
      <c r="N74" s="17">
        <v>128.69999999999999</v>
      </c>
      <c r="O74" s="17">
        <v>421.86</v>
      </c>
      <c r="P74" s="17" t="s">
        <v>414</v>
      </c>
      <c r="Q74" s="17">
        <v>2.1652900000000002</v>
      </c>
      <c r="R74" s="17">
        <v>210</v>
      </c>
      <c r="S74" s="17">
        <v>71</v>
      </c>
      <c r="T74" s="17">
        <v>98</v>
      </c>
      <c r="U74" s="17">
        <v>19009</v>
      </c>
      <c r="V74" s="17">
        <v>19009</v>
      </c>
      <c r="W74" s="17">
        <v>26.3</v>
      </c>
      <c r="X74" s="17">
        <v>50.5</v>
      </c>
      <c r="Y74" s="17">
        <v>18.600000000000001</v>
      </c>
      <c r="Z74" s="17">
        <v>18.7</v>
      </c>
      <c r="AA74" s="17">
        <v>0</v>
      </c>
      <c r="AB74" s="17">
        <v>1.2</v>
      </c>
      <c r="AC74" s="17" t="s">
        <v>415</v>
      </c>
      <c r="AD74" s="17">
        <v>0</v>
      </c>
      <c r="AE74" s="17">
        <v>10</v>
      </c>
    </row>
    <row r="75" spans="1:31" x14ac:dyDescent="0.45">
      <c r="A75" s="16" t="s">
        <v>388</v>
      </c>
      <c r="B75" s="16" t="s">
        <v>389</v>
      </c>
      <c r="C75" s="16" t="s">
        <v>285</v>
      </c>
      <c r="D75" s="16" t="s">
        <v>390</v>
      </c>
      <c r="E75" s="17" t="s">
        <v>276</v>
      </c>
      <c r="F75" s="17" t="s">
        <v>269</v>
      </c>
      <c r="G75" s="17" t="s">
        <v>206</v>
      </c>
      <c r="H75" s="17" t="s">
        <v>242</v>
      </c>
      <c r="I75" s="17" t="s">
        <v>243</v>
      </c>
      <c r="J75" s="17" t="s">
        <v>71</v>
      </c>
      <c r="K75" s="17" t="s">
        <v>277</v>
      </c>
      <c r="L75" s="17">
        <v>4</v>
      </c>
      <c r="M75" s="17">
        <v>5.56</v>
      </c>
      <c r="N75" s="17">
        <v>83.4</v>
      </c>
      <c r="O75" s="17">
        <v>9.1</v>
      </c>
      <c r="P75" s="17" t="s">
        <v>416</v>
      </c>
      <c r="Q75" s="17">
        <v>0</v>
      </c>
      <c r="R75" s="17">
        <v>4</v>
      </c>
      <c r="S75" s="17">
        <v>67.900000000000006</v>
      </c>
      <c r="T75" s="17">
        <v>100</v>
      </c>
      <c r="U75" s="17">
        <v>23256</v>
      </c>
      <c r="V75" s="17">
        <v>24194</v>
      </c>
      <c r="W75" s="17">
        <v>36.799999999999997</v>
      </c>
      <c r="X75" s="17">
        <v>100</v>
      </c>
      <c r="Y75" s="17">
        <v>17</v>
      </c>
      <c r="Z75" s="17">
        <v>17</v>
      </c>
      <c r="AA75" s="17">
        <v>0</v>
      </c>
      <c r="AB75" s="17">
        <v>2.2999999999999998</v>
      </c>
      <c r="AC75" s="17" t="s">
        <v>417</v>
      </c>
      <c r="AD75" s="17">
        <v>0</v>
      </c>
      <c r="AE75" s="17">
        <v>0</v>
      </c>
    </row>
    <row r="76" spans="1:31" x14ac:dyDescent="0.45">
      <c r="A76" s="16" t="s">
        <v>388</v>
      </c>
      <c r="B76" s="16" t="s">
        <v>389</v>
      </c>
      <c r="C76" s="16" t="s">
        <v>285</v>
      </c>
      <c r="D76" s="16" t="s">
        <v>390</v>
      </c>
      <c r="E76" s="17" t="s">
        <v>276</v>
      </c>
      <c r="F76" s="17" t="s">
        <v>269</v>
      </c>
      <c r="G76" s="17" t="s">
        <v>206</v>
      </c>
      <c r="H76" s="17" t="s">
        <v>242</v>
      </c>
      <c r="I76" s="17" t="s">
        <v>247</v>
      </c>
      <c r="J76" s="17" t="s">
        <v>71</v>
      </c>
      <c r="K76" s="17" t="s">
        <v>277</v>
      </c>
      <c r="L76" s="17">
        <v>4</v>
      </c>
      <c r="M76" s="17">
        <v>5.56</v>
      </c>
      <c r="N76" s="17">
        <v>83.4</v>
      </c>
      <c r="O76" s="17">
        <v>8.5</v>
      </c>
      <c r="P76" s="17" t="s">
        <v>418</v>
      </c>
      <c r="Q76" s="17">
        <v>0</v>
      </c>
      <c r="R76" s="17">
        <v>4</v>
      </c>
      <c r="S76" s="17">
        <v>72.099999999999994</v>
      </c>
      <c r="T76" s="17">
        <v>100</v>
      </c>
      <c r="U76" s="17">
        <v>23456</v>
      </c>
      <c r="V76" s="17">
        <v>24482</v>
      </c>
      <c r="W76" s="17">
        <v>39.200000000000003</v>
      </c>
      <c r="X76" s="17">
        <v>100</v>
      </c>
      <c r="Y76" s="17">
        <v>16.899999999999999</v>
      </c>
      <c r="Z76" s="17">
        <v>17</v>
      </c>
      <c r="AA76" s="17">
        <v>0</v>
      </c>
      <c r="AB76" s="17"/>
      <c r="AC76" s="17" t="s">
        <v>419</v>
      </c>
      <c r="AD76" s="17">
        <v>0</v>
      </c>
      <c r="AE76" s="17">
        <v>0</v>
      </c>
    </row>
    <row r="77" spans="1:31" x14ac:dyDescent="0.45">
      <c r="A77" s="16" t="s">
        <v>388</v>
      </c>
      <c r="B77" s="16" t="s">
        <v>389</v>
      </c>
      <c r="C77" s="16" t="s">
        <v>285</v>
      </c>
      <c r="D77" s="16" t="s">
        <v>390</v>
      </c>
      <c r="E77" s="17" t="s">
        <v>276</v>
      </c>
      <c r="F77" s="17" t="s">
        <v>269</v>
      </c>
      <c r="G77" s="17" t="s">
        <v>206</v>
      </c>
      <c r="H77" s="17" t="s">
        <v>250</v>
      </c>
      <c r="I77" s="17" t="s">
        <v>243</v>
      </c>
      <c r="J77" s="17" t="s">
        <v>71</v>
      </c>
      <c r="K77" s="17" t="s">
        <v>277</v>
      </c>
      <c r="L77" s="17">
        <v>8</v>
      </c>
      <c r="M77" s="17">
        <v>10.78</v>
      </c>
      <c r="N77" s="17">
        <v>80.8</v>
      </c>
      <c r="O77" s="17">
        <v>169.79</v>
      </c>
      <c r="P77" s="17" t="s">
        <v>420</v>
      </c>
      <c r="Q77" s="17">
        <v>0.72480999999999995</v>
      </c>
      <c r="R77" s="17">
        <v>6</v>
      </c>
      <c r="S77" s="17">
        <v>22.7</v>
      </c>
      <c r="T77" s="17">
        <v>100</v>
      </c>
      <c r="U77" s="17">
        <v>22197</v>
      </c>
      <c r="V77" s="17">
        <v>22626</v>
      </c>
      <c r="W77" s="17">
        <v>15.1</v>
      </c>
      <c r="X77" s="17">
        <v>99</v>
      </c>
      <c r="Y77" s="17">
        <v>16.899999999999999</v>
      </c>
      <c r="Z77" s="17">
        <v>16.899999999999999</v>
      </c>
      <c r="AA77" s="17">
        <v>0</v>
      </c>
      <c r="AB77" s="17">
        <v>0.4</v>
      </c>
      <c r="AC77" s="17" t="s">
        <v>421</v>
      </c>
      <c r="AD77" s="17">
        <v>0</v>
      </c>
      <c r="AE77" s="17">
        <v>0</v>
      </c>
    </row>
    <row r="78" spans="1:31" x14ac:dyDescent="0.45">
      <c r="A78" s="18" t="s">
        <v>422</v>
      </c>
      <c r="B78" s="18" t="s">
        <v>423</v>
      </c>
      <c r="C78" s="18" t="s">
        <v>285</v>
      </c>
      <c r="D78" s="18" t="s">
        <v>424</v>
      </c>
      <c r="E78" s="19" t="s">
        <v>240</v>
      </c>
      <c r="F78" s="19" t="s">
        <v>241</v>
      </c>
      <c r="G78" s="19" t="s">
        <v>206</v>
      </c>
      <c r="H78" s="19" t="s">
        <v>242</v>
      </c>
      <c r="I78" s="19" t="s">
        <v>243</v>
      </c>
      <c r="J78" s="19" t="s">
        <v>71</v>
      </c>
      <c r="K78" s="19" t="s">
        <v>244</v>
      </c>
      <c r="L78" s="19">
        <v>200</v>
      </c>
      <c r="M78" s="19">
        <v>430.4</v>
      </c>
      <c r="N78" s="19">
        <v>129.1</v>
      </c>
      <c r="O78" s="19">
        <v>125.16</v>
      </c>
      <c r="P78" s="19" t="s">
        <v>425</v>
      </c>
      <c r="Q78" s="19">
        <v>2.0457800000000002</v>
      </c>
      <c r="R78" s="19">
        <v>4</v>
      </c>
      <c r="S78" s="19">
        <v>9.6999999999999993</v>
      </c>
      <c r="T78" s="19">
        <v>86</v>
      </c>
      <c r="U78" s="19">
        <v>12002</v>
      </c>
      <c r="V78" s="19">
        <v>14378</v>
      </c>
      <c r="W78" s="19">
        <v>14.2</v>
      </c>
      <c r="X78" s="19">
        <v>47.3</v>
      </c>
      <c r="Y78" s="19">
        <v>92.7</v>
      </c>
      <c r="Z78" s="19">
        <v>96.2</v>
      </c>
      <c r="AA78" s="19">
        <v>8.5</v>
      </c>
      <c r="AB78" s="19">
        <v>26.4</v>
      </c>
      <c r="AC78" s="19" t="s">
        <v>426</v>
      </c>
      <c r="AD78" s="19">
        <v>0</v>
      </c>
      <c r="AE78" s="19">
        <v>0</v>
      </c>
    </row>
    <row r="79" spans="1:31" x14ac:dyDescent="0.45">
      <c r="A79" s="18" t="s">
        <v>422</v>
      </c>
      <c r="B79" s="18" t="s">
        <v>423</v>
      </c>
      <c r="C79" s="18" t="s">
        <v>285</v>
      </c>
      <c r="D79" s="18" t="s">
        <v>424</v>
      </c>
      <c r="E79" s="19" t="s">
        <v>240</v>
      </c>
      <c r="F79" s="19" t="s">
        <v>241</v>
      </c>
      <c r="G79" s="19" t="s">
        <v>206</v>
      </c>
      <c r="H79" s="19" t="s">
        <v>242</v>
      </c>
      <c r="I79" s="19" t="s">
        <v>247</v>
      </c>
      <c r="J79" s="19" t="s">
        <v>71</v>
      </c>
      <c r="K79" s="19" t="s">
        <v>244</v>
      </c>
      <c r="L79" s="19">
        <v>200</v>
      </c>
      <c r="M79" s="19">
        <v>430.4</v>
      </c>
      <c r="N79" s="19">
        <v>129.1</v>
      </c>
      <c r="O79" s="19">
        <v>260.91000000000003</v>
      </c>
      <c r="P79" s="19" t="s">
        <v>427</v>
      </c>
      <c r="Q79" s="19">
        <v>4.9406999999999996</v>
      </c>
      <c r="R79" s="19">
        <v>4</v>
      </c>
      <c r="S79" s="19">
        <v>13.3</v>
      </c>
      <c r="T79" s="19">
        <v>97</v>
      </c>
      <c r="U79" s="19">
        <v>14498</v>
      </c>
      <c r="V79" s="19">
        <v>15888</v>
      </c>
      <c r="W79" s="19">
        <v>7.7</v>
      </c>
      <c r="X79" s="19">
        <v>49.5</v>
      </c>
      <c r="Y79" s="19">
        <v>94.9</v>
      </c>
      <c r="Z79" s="19">
        <v>95.8</v>
      </c>
      <c r="AA79" s="19">
        <v>7.4</v>
      </c>
      <c r="AB79" s="19">
        <v>16.2</v>
      </c>
      <c r="AC79" s="19" t="s">
        <v>428</v>
      </c>
      <c r="AD79" s="19">
        <v>0</v>
      </c>
      <c r="AE79" s="19">
        <v>0</v>
      </c>
    </row>
    <row r="80" spans="1:31" x14ac:dyDescent="0.45">
      <c r="A80" s="18" t="s">
        <v>422</v>
      </c>
      <c r="B80" s="18" t="s">
        <v>423</v>
      </c>
      <c r="C80" s="18" t="s">
        <v>285</v>
      </c>
      <c r="D80" s="18" t="s">
        <v>424</v>
      </c>
      <c r="E80" s="19" t="s">
        <v>240</v>
      </c>
      <c r="F80" s="19" t="s">
        <v>241</v>
      </c>
      <c r="G80" s="19" t="s">
        <v>206</v>
      </c>
      <c r="H80" s="19" t="s">
        <v>250</v>
      </c>
      <c r="I80" s="19" t="s">
        <v>243</v>
      </c>
      <c r="J80" s="19" t="s">
        <v>71</v>
      </c>
      <c r="K80" s="19" t="s">
        <v>251</v>
      </c>
      <c r="L80" s="19">
        <v>600</v>
      </c>
      <c r="M80" s="19">
        <v>1289.22</v>
      </c>
      <c r="N80" s="19">
        <v>128.9</v>
      </c>
      <c r="O80" s="19">
        <v>290.42</v>
      </c>
      <c r="P80" s="19" t="s">
        <v>429</v>
      </c>
      <c r="Q80" s="19">
        <v>5.8180000000000003E-2</v>
      </c>
      <c r="R80" s="19">
        <v>500</v>
      </c>
      <c r="S80" s="19">
        <v>15.5</v>
      </c>
      <c r="T80" s="19">
        <v>100</v>
      </c>
      <c r="U80" s="19">
        <v>14372</v>
      </c>
      <c r="V80" s="19">
        <v>14372</v>
      </c>
      <c r="W80" s="19">
        <v>10.7</v>
      </c>
      <c r="X80" s="19">
        <v>88.1</v>
      </c>
      <c r="Y80" s="19">
        <v>92.7</v>
      </c>
      <c r="Z80" s="19">
        <v>93.6</v>
      </c>
      <c r="AA80" s="19">
        <v>0.7</v>
      </c>
      <c r="AB80" s="19">
        <v>1.2</v>
      </c>
      <c r="AC80" s="19" t="s">
        <v>430</v>
      </c>
      <c r="AD80" s="19">
        <v>0</v>
      </c>
      <c r="AE80" s="19">
        <v>0</v>
      </c>
    </row>
    <row r="81" spans="1:31" x14ac:dyDescent="0.45">
      <c r="A81" s="18" t="s">
        <v>422</v>
      </c>
      <c r="B81" s="18" t="s">
        <v>423</v>
      </c>
      <c r="C81" s="18" t="s">
        <v>285</v>
      </c>
      <c r="D81" s="18" t="s">
        <v>424</v>
      </c>
      <c r="E81" s="19" t="s">
        <v>240</v>
      </c>
      <c r="F81" s="19" t="s">
        <v>241</v>
      </c>
      <c r="G81" s="19" t="s">
        <v>206</v>
      </c>
      <c r="H81" s="19" t="s">
        <v>250</v>
      </c>
      <c r="I81" s="19" t="s">
        <v>243</v>
      </c>
      <c r="J81" s="19" t="s">
        <v>71</v>
      </c>
      <c r="K81" s="19" t="s">
        <v>254</v>
      </c>
      <c r="L81" s="19">
        <v>560</v>
      </c>
      <c r="M81" s="19">
        <v>532.77</v>
      </c>
      <c r="N81" s="19">
        <v>57.1</v>
      </c>
      <c r="O81" s="19">
        <v>139.1</v>
      </c>
      <c r="P81" s="19" t="s">
        <v>431</v>
      </c>
      <c r="Q81" s="19">
        <v>5.2150000000000002E-2</v>
      </c>
      <c r="R81" s="19">
        <v>500</v>
      </c>
      <c r="S81" s="19">
        <v>13.1</v>
      </c>
      <c r="T81" s="19">
        <v>100</v>
      </c>
      <c r="U81" s="19">
        <v>14372</v>
      </c>
      <c r="V81" s="19">
        <v>14372</v>
      </c>
      <c r="W81" s="19">
        <v>10.199999999999999</v>
      </c>
      <c r="X81" s="19">
        <v>37.4</v>
      </c>
      <c r="Y81" s="19">
        <v>91.4</v>
      </c>
      <c r="Z81" s="19">
        <v>91.7</v>
      </c>
      <c r="AA81" s="19">
        <v>0.5</v>
      </c>
      <c r="AB81" s="19">
        <v>0.6</v>
      </c>
      <c r="AC81" s="19" t="s">
        <v>432</v>
      </c>
      <c r="AD81" s="19">
        <v>0</v>
      </c>
      <c r="AE81" s="19">
        <v>0</v>
      </c>
    </row>
    <row r="82" spans="1:31" x14ac:dyDescent="0.45">
      <c r="A82" s="18" t="s">
        <v>422</v>
      </c>
      <c r="B82" s="18" t="s">
        <v>423</v>
      </c>
      <c r="C82" s="18" t="s">
        <v>285</v>
      </c>
      <c r="D82" s="18" t="s">
        <v>424</v>
      </c>
      <c r="E82" s="19" t="s">
        <v>257</v>
      </c>
      <c r="F82" s="19" t="s">
        <v>269</v>
      </c>
      <c r="G82" s="19" t="s">
        <v>259</v>
      </c>
      <c r="H82" s="19" t="s">
        <v>295</v>
      </c>
      <c r="I82" s="19" t="s">
        <v>243</v>
      </c>
      <c r="J82" s="19" t="s">
        <v>273</v>
      </c>
      <c r="K82" s="19" t="s">
        <v>244</v>
      </c>
      <c r="L82" s="19">
        <v>200</v>
      </c>
      <c r="M82" s="19">
        <v>428.83</v>
      </c>
      <c r="N82" s="19">
        <v>128.6</v>
      </c>
      <c r="O82" s="19">
        <v>438.3</v>
      </c>
      <c r="P82" s="19" t="s">
        <v>433</v>
      </c>
      <c r="Q82" s="19">
        <v>8.5364299999999993</v>
      </c>
      <c r="R82" s="19">
        <v>4</v>
      </c>
      <c r="S82" s="19">
        <v>0</v>
      </c>
      <c r="T82" s="19">
        <v>0</v>
      </c>
      <c r="U82" s="19">
        <v>1291</v>
      </c>
      <c r="V82" s="19">
        <v>1291</v>
      </c>
      <c r="W82" s="19">
        <v>20.399999999999999</v>
      </c>
      <c r="X82" s="19">
        <v>34.6</v>
      </c>
      <c r="Y82" s="19">
        <v>67</v>
      </c>
      <c r="Z82" s="19">
        <v>68.400000000000006</v>
      </c>
      <c r="AA82" s="19">
        <v>26.8</v>
      </c>
      <c r="AB82" s="19">
        <v>6.9</v>
      </c>
      <c r="AC82" s="19" t="s">
        <v>434</v>
      </c>
      <c r="AD82" s="19">
        <v>0</v>
      </c>
      <c r="AE82" s="19">
        <v>0</v>
      </c>
    </row>
    <row r="83" spans="1:31" x14ac:dyDescent="0.45">
      <c r="A83" s="18" t="s">
        <v>422</v>
      </c>
      <c r="B83" s="18" t="s">
        <v>423</v>
      </c>
      <c r="C83" s="18" t="s">
        <v>285</v>
      </c>
      <c r="D83" s="18" t="s">
        <v>424</v>
      </c>
      <c r="E83" s="19" t="s">
        <v>257</v>
      </c>
      <c r="F83" s="19" t="s">
        <v>258</v>
      </c>
      <c r="G83" s="19" t="s">
        <v>259</v>
      </c>
      <c r="H83" s="19" t="s">
        <v>250</v>
      </c>
      <c r="I83" s="19" t="s">
        <v>243</v>
      </c>
      <c r="J83" s="19" t="s">
        <v>260</v>
      </c>
      <c r="K83" s="19" t="s">
        <v>251</v>
      </c>
      <c r="L83" s="19">
        <v>200</v>
      </c>
      <c r="M83" s="19">
        <v>428.83</v>
      </c>
      <c r="N83" s="19">
        <v>128.6</v>
      </c>
      <c r="O83" s="19">
        <v>423.11</v>
      </c>
      <c r="P83" s="19" t="s">
        <v>435</v>
      </c>
      <c r="Q83" s="19">
        <v>2.2080299999999999</v>
      </c>
      <c r="R83" s="19">
        <v>70</v>
      </c>
      <c r="S83" s="19">
        <v>0</v>
      </c>
      <c r="T83" s="19">
        <v>0</v>
      </c>
      <c r="U83" s="19">
        <v>1291</v>
      </c>
      <c r="V83" s="19">
        <v>1291</v>
      </c>
      <c r="W83" s="19">
        <v>25.2</v>
      </c>
      <c r="X83" s="19">
        <v>37.700000000000003</v>
      </c>
      <c r="Y83" s="19">
        <v>68.8</v>
      </c>
      <c r="Z83" s="19">
        <v>69.2</v>
      </c>
      <c r="AA83" s="19">
        <v>0.1</v>
      </c>
      <c r="AB83" s="19">
        <v>4.8</v>
      </c>
      <c r="AC83" s="19" t="s">
        <v>436</v>
      </c>
      <c r="AD83" s="19">
        <v>0</v>
      </c>
      <c r="AE83" s="19">
        <v>0</v>
      </c>
    </row>
    <row r="84" spans="1:31" x14ac:dyDescent="0.45">
      <c r="A84" s="18" t="s">
        <v>422</v>
      </c>
      <c r="B84" s="18" t="s">
        <v>423</v>
      </c>
      <c r="C84" s="18" t="s">
        <v>285</v>
      </c>
      <c r="D84" s="18" t="s">
        <v>424</v>
      </c>
      <c r="E84" s="19" t="s">
        <v>257</v>
      </c>
      <c r="F84" s="19" t="s">
        <v>258</v>
      </c>
      <c r="G84" s="19" t="s">
        <v>259</v>
      </c>
      <c r="H84" s="19" t="s">
        <v>250</v>
      </c>
      <c r="I84" s="19" t="s">
        <v>243</v>
      </c>
      <c r="J84" s="19" t="s">
        <v>260</v>
      </c>
      <c r="K84" s="19" t="s">
        <v>254</v>
      </c>
      <c r="L84" s="19">
        <v>160</v>
      </c>
      <c r="M84" s="19">
        <v>152.76</v>
      </c>
      <c r="N84" s="19">
        <v>57.3</v>
      </c>
      <c r="O84" s="19">
        <v>186.67</v>
      </c>
      <c r="P84" s="19" t="s">
        <v>437</v>
      </c>
      <c r="Q84" s="19">
        <v>2.42605</v>
      </c>
      <c r="R84" s="19">
        <v>75</v>
      </c>
      <c r="S84" s="19">
        <v>0</v>
      </c>
      <c r="T84" s="19">
        <v>0</v>
      </c>
      <c r="U84" s="19">
        <v>1291</v>
      </c>
      <c r="V84" s="19">
        <v>1291</v>
      </c>
      <c r="W84" s="19">
        <v>21.9</v>
      </c>
      <c r="X84" s="19">
        <v>33.6</v>
      </c>
      <c r="Y84" s="19">
        <v>68.3</v>
      </c>
      <c r="Z84" s="19">
        <v>68.5</v>
      </c>
      <c r="AA84" s="19">
        <v>0</v>
      </c>
      <c r="AB84" s="19">
        <v>4</v>
      </c>
      <c r="AC84" s="19" t="s">
        <v>438</v>
      </c>
      <c r="AD84" s="19">
        <v>0</v>
      </c>
      <c r="AE84" s="19">
        <v>0</v>
      </c>
    </row>
    <row r="85" spans="1:31" x14ac:dyDescent="0.45">
      <c r="A85" s="18" t="s">
        <v>422</v>
      </c>
      <c r="B85" s="18" t="s">
        <v>423</v>
      </c>
      <c r="C85" s="18" t="s">
        <v>285</v>
      </c>
      <c r="D85" s="18" t="s">
        <v>424</v>
      </c>
      <c r="E85" s="19" t="s">
        <v>257</v>
      </c>
      <c r="F85" s="19" t="s">
        <v>269</v>
      </c>
      <c r="G85" s="19" t="s">
        <v>259</v>
      </c>
      <c r="H85" s="19" t="s">
        <v>250</v>
      </c>
      <c r="I85" s="19" t="s">
        <v>243</v>
      </c>
      <c r="J85" s="19" t="s">
        <v>273</v>
      </c>
      <c r="K85" s="19" t="s">
        <v>251</v>
      </c>
      <c r="L85" s="19">
        <v>200</v>
      </c>
      <c r="M85" s="19">
        <v>428.83</v>
      </c>
      <c r="N85" s="19">
        <v>128.6</v>
      </c>
      <c r="O85" s="19">
        <v>417.14</v>
      </c>
      <c r="P85" s="19" t="s">
        <v>439</v>
      </c>
      <c r="Q85" s="19">
        <v>3.1076999999999999</v>
      </c>
      <c r="R85" s="19">
        <v>95</v>
      </c>
      <c r="S85" s="19">
        <v>0</v>
      </c>
      <c r="T85" s="19">
        <v>0</v>
      </c>
      <c r="U85" s="19">
        <v>1291</v>
      </c>
      <c r="V85" s="19">
        <v>1291</v>
      </c>
      <c r="W85" s="19">
        <v>20.8</v>
      </c>
      <c r="X85" s="19">
        <v>38.200000000000003</v>
      </c>
      <c r="Y85" s="19">
        <v>67.099999999999994</v>
      </c>
      <c r="Z85" s="19">
        <v>68.3</v>
      </c>
      <c r="AA85" s="19">
        <v>0.1</v>
      </c>
      <c r="AB85" s="19">
        <v>3.6</v>
      </c>
      <c r="AC85" s="19" t="s">
        <v>440</v>
      </c>
      <c r="AD85" s="19">
        <v>0</v>
      </c>
      <c r="AE85" s="19">
        <v>0</v>
      </c>
    </row>
    <row r="86" spans="1:31" x14ac:dyDescent="0.45">
      <c r="A86" s="18" t="s">
        <v>422</v>
      </c>
      <c r="B86" s="18" t="s">
        <v>423</v>
      </c>
      <c r="C86" s="18" t="s">
        <v>285</v>
      </c>
      <c r="D86" s="18" t="s">
        <v>424</v>
      </c>
      <c r="E86" s="19" t="s">
        <v>257</v>
      </c>
      <c r="F86" s="19" t="s">
        <v>269</v>
      </c>
      <c r="G86" s="19" t="s">
        <v>259</v>
      </c>
      <c r="H86" s="19" t="s">
        <v>250</v>
      </c>
      <c r="I86" s="19" t="s">
        <v>243</v>
      </c>
      <c r="J86" s="19" t="s">
        <v>273</v>
      </c>
      <c r="K86" s="19" t="s">
        <v>254</v>
      </c>
      <c r="L86" s="19">
        <v>160</v>
      </c>
      <c r="M86" s="19">
        <v>153.53</v>
      </c>
      <c r="N86" s="19">
        <v>57.6</v>
      </c>
      <c r="O86" s="19">
        <v>157.63</v>
      </c>
      <c r="P86" s="19" t="s">
        <v>441</v>
      </c>
      <c r="Q86" s="19">
        <v>2.4243700000000001</v>
      </c>
      <c r="R86" s="19">
        <v>100</v>
      </c>
      <c r="S86" s="19">
        <v>0</v>
      </c>
      <c r="T86" s="19">
        <v>0</v>
      </c>
      <c r="U86" s="19">
        <v>1291</v>
      </c>
      <c r="V86" s="19">
        <v>1291</v>
      </c>
      <c r="W86" s="19">
        <v>21.1</v>
      </c>
      <c r="X86" s="19">
        <v>43.1</v>
      </c>
      <c r="Y86" s="19">
        <v>68</v>
      </c>
      <c r="Z86" s="19">
        <v>68.3</v>
      </c>
      <c r="AA86" s="19">
        <v>0.1</v>
      </c>
      <c r="AB86" s="19">
        <v>3.8</v>
      </c>
      <c r="AC86" s="19" t="s">
        <v>442</v>
      </c>
      <c r="AD86" s="19">
        <v>0</v>
      </c>
      <c r="AE86" s="19">
        <v>0</v>
      </c>
    </row>
    <row r="87" spans="1:31" x14ac:dyDescent="0.45">
      <c r="A87" s="18" t="s">
        <v>422</v>
      </c>
      <c r="B87" s="18" t="s">
        <v>423</v>
      </c>
      <c r="C87" s="18" t="s">
        <v>285</v>
      </c>
      <c r="D87" s="18" t="s">
        <v>424</v>
      </c>
      <c r="E87" s="19" t="s">
        <v>257</v>
      </c>
      <c r="F87" s="19" t="s">
        <v>258</v>
      </c>
      <c r="G87" s="19" t="s">
        <v>206</v>
      </c>
      <c r="H87" s="19" t="s">
        <v>250</v>
      </c>
      <c r="I87" s="19" t="s">
        <v>243</v>
      </c>
      <c r="J87" s="19" t="s">
        <v>260</v>
      </c>
      <c r="K87" s="19" t="s">
        <v>251</v>
      </c>
      <c r="L87" s="19">
        <v>200</v>
      </c>
      <c r="M87" s="19">
        <v>428.83</v>
      </c>
      <c r="N87" s="19">
        <v>128.6</v>
      </c>
      <c r="O87" s="19">
        <v>144.53</v>
      </c>
      <c r="P87" s="19" t="s">
        <v>443</v>
      </c>
      <c r="Q87" s="19">
        <v>3.8424800000000001</v>
      </c>
      <c r="R87" s="19">
        <v>200</v>
      </c>
      <c r="S87" s="19">
        <v>97.7</v>
      </c>
      <c r="T87" s="19">
        <v>99</v>
      </c>
      <c r="U87" s="19">
        <v>5192</v>
      </c>
      <c r="V87" s="19">
        <v>5192</v>
      </c>
      <c r="W87" s="19">
        <v>21.3</v>
      </c>
      <c r="X87" s="19">
        <v>30.6</v>
      </c>
      <c r="Y87" s="19">
        <v>89.6</v>
      </c>
      <c r="Z87" s="19">
        <v>90</v>
      </c>
      <c r="AA87" s="19">
        <v>1.1000000000000001</v>
      </c>
      <c r="AB87" s="19">
        <v>7.9</v>
      </c>
      <c r="AC87" s="19" t="s">
        <v>444</v>
      </c>
      <c r="AD87" s="19">
        <v>0</v>
      </c>
      <c r="AE87" s="19">
        <v>0</v>
      </c>
    </row>
    <row r="88" spans="1:31" x14ac:dyDescent="0.45">
      <c r="A88" s="18" t="s">
        <v>422</v>
      </c>
      <c r="B88" s="18" t="s">
        <v>423</v>
      </c>
      <c r="C88" s="18" t="s">
        <v>285</v>
      </c>
      <c r="D88" s="18" t="s">
        <v>424</v>
      </c>
      <c r="E88" s="19" t="s">
        <v>257</v>
      </c>
      <c r="F88" s="19" t="s">
        <v>258</v>
      </c>
      <c r="G88" s="19" t="s">
        <v>206</v>
      </c>
      <c r="H88" s="19" t="s">
        <v>250</v>
      </c>
      <c r="I88" s="19" t="s">
        <v>243</v>
      </c>
      <c r="J88" s="19" t="s">
        <v>260</v>
      </c>
      <c r="K88" s="19" t="s">
        <v>254</v>
      </c>
      <c r="L88" s="19">
        <v>240</v>
      </c>
      <c r="M88" s="19">
        <v>226.3</v>
      </c>
      <c r="N88" s="19">
        <v>56.6</v>
      </c>
      <c r="O88" s="19">
        <v>139.58000000000001</v>
      </c>
      <c r="P88" s="19" t="s">
        <v>445</v>
      </c>
      <c r="Q88" s="19">
        <v>1.12297</v>
      </c>
      <c r="R88" s="19">
        <v>200</v>
      </c>
      <c r="S88" s="19">
        <v>55.6</v>
      </c>
      <c r="T88" s="19">
        <v>99</v>
      </c>
      <c r="U88" s="19">
        <v>5192</v>
      </c>
      <c r="V88" s="19">
        <v>5192</v>
      </c>
      <c r="W88" s="19">
        <v>14.8</v>
      </c>
      <c r="X88" s="19">
        <v>33.200000000000003</v>
      </c>
      <c r="Y88" s="19">
        <v>83.2</v>
      </c>
      <c r="Z88" s="19">
        <v>83.4</v>
      </c>
      <c r="AA88" s="19">
        <v>0.9</v>
      </c>
      <c r="AB88" s="19">
        <v>4.5</v>
      </c>
      <c r="AC88" s="19" t="s">
        <v>446</v>
      </c>
      <c r="AD88" s="19">
        <v>0</v>
      </c>
      <c r="AE88" s="19">
        <v>0</v>
      </c>
    </row>
    <row r="89" spans="1:31" x14ac:dyDescent="0.45">
      <c r="A89" s="18" t="s">
        <v>422</v>
      </c>
      <c r="B89" s="18" t="s">
        <v>423</v>
      </c>
      <c r="C89" s="18" t="s">
        <v>285</v>
      </c>
      <c r="D89" s="18" t="s">
        <v>424</v>
      </c>
      <c r="E89" s="19" t="s">
        <v>257</v>
      </c>
      <c r="F89" s="19" t="s">
        <v>269</v>
      </c>
      <c r="G89" s="19" t="s">
        <v>206</v>
      </c>
      <c r="H89" s="19" t="s">
        <v>250</v>
      </c>
      <c r="I89" s="19" t="s">
        <v>243</v>
      </c>
      <c r="J89" s="19" t="s">
        <v>270</v>
      </c>
      <c r="K89" s="19" t="s">
        <v>251</v>
      </c>
      <c r="L89" s="19">
        <v>400</v>
      </c>
      <c r="M89" s="19">
        <v>857.93</v>
      </c>
      <c r="N89" s="19">
        <v>128.69999999999999</v>
      </c>
      <c r="O89" s="19">
        <v>288.7</v>
      </c>
      <c r="P89" s="19" t="s">
        <v>447</v>
      </c>
      <c r="Q89" s="19">
        <v>5.8182499999999999</v>
      </c>
      <c r="R89" s="19">
        <v>260</v>
      </c>
      <c r="S89" s="19">
        <v>75.2</v>
      </c>
      <c r="T89" s="19">
        <v>99</v>
      </c>
      <c r="U89" s="19">
        <v>5184</v>
      </c>
      <c r="V89" s="19">
        <v>5186</v>
      </c>
      <c r="W89" s="19">
        <v>18.600000000000001</v>
      </c>
      <c r="X89" s="19">
        <v>39.9</v>
      </c>
      <c r="Y89" s="19">
        <v>80.599999999999994</v>
      </c>
      <c r="Z89" s="19">
        <v>81.2</v>
      </c>
      <c r="AA89" s="19">
        <v>0.3</v>
      </c>
      <c r="AB89" s="19">
        <v>6</v>
      </c>
      <c r="AC89" s="19" t="s">
        <v>448</v>
      </c>
      <c r="AD89" s="19">
        <v>0</v>
      </c>
      <c r="AE89" s="19">
        <v>0</v>
      </c>
    </row>
    <row r="90" spans="1:31" x14ac:dyDescent="0.45">
      <c r="A90" s="18" t="s">
        <v>422</v>
      </c>
      <c r="B90" s="18" t="s">
        <v>423</v>
      </c>
      <c r="C90" s="18" t="s">
        <v>285</v>
      </c>
      <c r="D90" s="18" t="s">
        <v>424</v>
      </c>
      <c r="E90" s="19" t="s">
        <v>257</v>
      </c>
      <c r="F90" s="19" t="s">
        <v>269</v>
      </c>
      <c r="G90" s="19" t="s">
        <v>206</v>
      </c>
      <c r="H90" s="19" t="s">
        <v>250</v>
      </c>
      <c r="I90" s="19" t="s">
        <v>243</v>
      </c>
      <c r="J90" s="19" t="s">
        <v>273</v>
      </c>
      <c r="K90" s="19" t="s">
        <v>251</v>
      </c>
      <c r="L90" s="19">
        <v>400</v>
      </c>
      <c r="M90" s="19">
        <v>857.62</v>
      </c>
      <c r="N90" s="19">
        <v>128.6</v>
      </c>
      <c r="O90" s="19">
        <v>284.91000000000003</v>
      </c>
      <c r="P90" s="19" t="s">
        <v>449</v>
      </c>
      <c r="Q90" s="19">
        <v>3.69706</v>
      </c>
      <c r="R90" s="19">
        <v>340</v>
      </c>
      <c r="S90" s="19">
        <v>56.5</v>
      </c>
      <c r="T90" s="19">
        <v>99</v>
      </c>
      <c r="U90" s="19">
        <v>5191</v>
      </c>
      <c r="V90" s="19">
        <v>5192</v>
      </c>
      <c r="W90" s="19">
        <v>16.8</v>
      </c>
      <c r="X90" s="19">
        <v>43.4</v>
      </c>
      <c r="Y90" s="19">
        <v>79.599999999999994</v>
      </c>
      <c r="Z90" s="19">
        <v>80.8</v>
      </c>
      <c r="AA90" s="19">
        <v>0.6</v>
      </c>
      <c r="AB90" s="19">
        <v>5</v>
      </c>
      <c r="AC90" s="19" t="s">
        <v>450</v>
      </c>
      <c r="AD90" s="19">
        <v>0</v>
      </c>
      <c r="AE90" s="19">
        <v>0</v>
      </c>
    </row>
    <row r="91" spans="1:31" x14ac:dyDescent="0.45">
      <c r="A91" s="18" t="s">
        <v>422</v>
      </c>
      <c r="B91" s="18" t="s">
        <v>423</v>
      </c>
      <c r="C91" s="18" t="s">
        <v>285</v>
      </c>
      <c r="D91" s="18" t="s">
        <v>424</v>
      </c>
      <c r="E91" s="19" t="s">
        <v>276</v>
      </c>
      <c r="F91" s="19" t="s">
        <v>269</v>
      </c>
      <c r="G91" s="19" t="s">
        <v>206</v>
      </c>
      <c r="H91" s="19" t="s">
        <v>242</v>
      </c>
      <c r="I91" s="19" t="s">
        <v>243</v>
      </c>
      <c r="J91" s="19" t="s">
        <v>71</v>
      </c>
      <c r="K91" s="19" t="s">
        <v>277</v>
      </c>
      <c r="L91" s="19">
        <v>4</v>
      </c>
      <c r="M91" s="19">
        <v>5.56</v>
      </c>
      <c r="N91" s="19">
        <v>83.4</v>
      </c>
      <c r="O91" s="19">
        <v>9.1999999999999993</v>
      </c>
      <c r="P91" s="19" t="s">
        <v>451</v>
      </c>
      <c r="Q91" s="19">
        <v>0</v>
      </c>
      <c r="R91" s="19">
        <v>4</v>
      </c>
      <c r="S91" s="19">
        <v>68.8</v>
      </c>
      <c r="T91" s="19">
        <v>100</v>
      </c>
      <c r="U91" s="19">
        <v>10003</v>
      </c>
      <c r="V91" s="19">
        <v>11024</v>
      </c>
      <c r="W91" s="19">
        <v>31.7</v>
      </c>
      <c r="X91" s="19">
        <v>98.5</v>
      </c>
      <c r="Y91" s="19">
        <v>81.8</v>
      </c>
      <c r="Z91" s="19">
        <v>81.900000000000006</v>
      </c>
      <c r="AA91" s="19">
        <v>10.5</v>
      </c>
      <c r="AB91" s="19">
        <v>6.3</v>
      </c>
      <c r="AC91" s="19" t="s">
        <v>417</v>
      </c>
      <c r="AD91" s="19">
        <v>0</v>
      </c>
      <c r="AE91" s="19">
        <v>0</v>
      </c>
    </row>
    <row r="92" spans="1:31" x14ac:dyDescent="0.45">
      <c r="A92" s="18" t="s">
        <v>422</v>
      </c>
      <c r="B92" s="18" t="s">
        <v>423</v>
      </c>
      <c r="C92" s="18" t="s">
        <v>285</v>
      </c>
      <c r="D92" s="18" t="s">
        <v>424</v>
      </c>
      <c r="E92" s="19" t="s">
        <v>276</v>
      </c>
      <c r="F92" s="19" t="s">
        <v>269</v>
      </c>
      <c r="G92" s="19" t="s">
        <v>206</v>
      </c>
      <c r="H92" s="19" t="s">
        <v>242</v>
      </c>
      <c r="I92" s="19" t="s">
        <v>247</v>
      </c>
      <c r="J92" s="19" t="s">
        <v>71</v>
      </c>
      <c r="K92" s="19" t="s">
        <v>277</v>
      </c>
      <c r="L92" s="19">
        <v>4</v>
      </c>
      <c r="M92" s="19">
        <v>5.56</v>
      </c>
      <c r="N92" s="19">
        <v>83.4</v>
      </c>
      <c r="O92" s="19">
        <v>10.199999999999999</v>
      </c>
      <c r="P92" s="19" t="s">
        <v>452</v>
      </c>
      <c r="Q92" s="19">
        <v>0</v>
      </c>
      <c r="R92" s="19">
        <v>4</v>
      </c>
      <c r="S92" s="19">
        <v>74.7</v>
      </c>
      <c r="T92" s="19">
        <v>100</v>
      </c>
      <c r="U92" s="19">
        <v>10043</v>
      </c>
      <c r="V92" s="19">
        <v>11912</v>
      </c>
      <c r="W92" s="19">
        <v>35.299999999999997</v>
      </c>
      <c r="X92" s="19">
        <v>99.7</v>
      </c>
      <c r="Y92" s="19">
        <v>83.6</v>
      </c>
      <c r="Z92" s="19">
        <v>84</v>
      </c>
      <c r="AA92" s="19">
        <v>5</v>
      </c>
      <c r="AB92" s="19">
        <v>8.5</v>
      </c>
      <c r="AC92" s="19" t="s">
        <v>453</v>
      </c>
      <c r="AD92" s="19">
        <v>0</v>
      </c>
      <c r="AE92" s="19">
        <v>0</v>
      </c>
    </row>
    <row r="93" spans="1:31" x14ac:dyDescent="0.45">
      <c r="A93" s="18" t="s">
        <v>422</v>
      </c>
      <c r="B93" s="18" t="s">
        <v>423</v>
      </c>
      <c r="C93" s="18" t="s">
        <v>285</v>
      </c>
      <c r="D93" s="18" t="s">
        <v>424</v>
      </c>
      <c r="E93" s="19" t="s">
        <v>276</v>
      </c>
      <c r="F93" s="19" t="s">
        <v>269</v>
      </c>
      <c r="G93" s="19" t="s">
        <v>206</v>
      </c>
      <c r="H93" s="19" t="s">
        <v>250</v>
      </c>
      <c r="I93" s="19" t="s">
        <v>243</v>
      </c>
      <c r="J93" s="19" t="s">
        <v>71</v>
      </c>
      <c r="K93" s="19" t="s">
        <v>277</v>
      </c>
      <c r="L93" s="19">
        <v>8</v>
      </c>
      <c r="M93" s="19">
        <v>10.68</v>
      </c>
      <c r="N93" s="19">
        <v>80.099999999999994</v>
      </c>
      <c r="O93" s="19">
        <v>171.39</v>
      </c>
      <c r="P93" s="19" t="s">
        <v>454</v>
      </c>
      <c r="Q93" s="19">
        <v>1.5728899999999999</v>
      </c>
      <c r="R93" s="19">
        <v>6</v>
      </c>
      <c r="S93" s="19">
        <v>27.8</v>
      </c>
      <c r="T93" s="19">
        <v>100</v>
      </c>
      <c r="U93" s="19">
        <v>8511</v>
      </c>
      <c r="V93" s="19">
        <v>9178</v>
      </c>
      <c r="W93" s="19">
        <v>15.3</v>
      </c>
      <c r="X93" s="19">
        <v>99.7</v>
      </c>
      <c r="Y93" s="19">
        <v>83.8</v>
      </c>
      <c r="Z93" s="19">
        <v>84</v>
      </c>
      <c r="AA93" s="19">
        <v>0.7</v>
      </c>
      <c r="AB93" s="19">
        <v>0.1</v>
      </c>
      <c r="AC93" s="19" t="s">
        <v>455</v>
      </c>
      <c r="AD93" s="19">
        <v>0</v>
      </c>
      <c r="AE93" s="19">
        <v>0</v>
      </c>
    </row>
    <row r="94" spans="1:31" x14ac:dyDescent="0.45">
      <c r="A94" s="32" t="s">
        <v>456</v>
      </c>
      <c r="B94" s="32" t="s">
        <v>457</v>
      </c>
      <c r="C94" s="32" t="s">
        <v>285</v>
      </c>
      <c r="D94" s="32" t="s">
        <v>458</v>
      </c>
      <c r="E94" s="32" t="s">
        <v>276</v>
      </c>
      <c r="F94" s="32" t="s">
        <v>269</v>
      </c>
      <c r="G94" s="32" t="s">
        <v>206</v>
      </c>
      <c r="H94" s="32" t="s">
        <v>242</v>
      </c>
      <c r="I94" s="32" t="s">
        <v>243</v>
      </c>
      <c r="J94" s="32" t="s">
        <v>71</v>
      </c>
      <c r="K94" s="32" t="s">
        <v>277</v>
      </c>
      <c r="L94" s="32">
        <v>4</v>
      </c>
      <c r="M94" s="32">
        <v>5.56</v>
      </c>
      <c r="N94" s="32">
        <v>83.4</v>
      </c>
      <c r="O94" s="32">
        <v>11.1</v>
      </c>
      <c r="P94" s="32" t="s">
        <v>459</v>
      </c>
      <c r="Q94" s="32">
        <v>0</v>
      </c>
      <c r="R94" s="32">
        <v>4</v>
      </c>
      <c r="S94" s="32">
        <v>61</v>
      </c>
      <c r="T94" s="32">
        <v>100</v>
      </c>
      <c r="U94" s="32">
        <v>11324</v>
      </c>
      <c r="V94" s="32">
        <v>12321</v>
      </c>
      <c r="W94" s="32">
        <v>34.9</v>
      </c>
      <c r="X94" s="32">
        <v>100</v>
      </c>
      <c r="Y94" s="32">
        <v>8.1999999999999993</v>
      </c>
      <c r="Z94" s="32">
        <v>8.4</v>
      </c>
      <c r="AA94" s="32">
        <v>0</v>
      </c>
      <c r="AB94" s="32">
        <v>4.7</v>
      </c>
      <c r="AC94" s="32" t="s">
        <v>460</v>
      </c>
      <c r="AD94" s="32">
        <v>0</v>
      </c>
      <c r="AE94" s="32">
        <v>0</v>
      </c>
    </row>
    <row r="95" spans="1:31" x14ac:dyDescent="0.45">
      <c r="A95" s="32" t="s">
        <v>456</v>
      </c>
      <c r="B95" s="32" t="s">
        <v>457</v>
      </c>
      <c r="C95" s="32" t="s">
        <v>285</v>
      </c>
      <c r="D95" s="32" t="s">
        <v>458</v>
      </c>
      <c r="E95" s="32" t="s">
        <v>276</v>
      </c>
      <c r="F95" s="32" t="s">
        <v>269</v>
      </c>
      <c r="G95" s="32" t="s">
        <v>206</v>
      </c>
      <c r="H95" s="32" t="s">
        <v>242</v>
      </c>
      <c r="I95" s="32" t="s">
        <v>247</v>
      </c>
      <c r="J95" s="32" t="s">
        <v>71</v>
      </c>
      <c r="K95" s="32" t="s">
        <v>277</v>
      </c>
      <c r="L95" s="32">
        <v>4</v>
      </c>
      <c r="M95" s="32">
        <v>5.56</v>
      </c>
      <c r="N95" s="32">
        <v>83.4</v>
      </c>
      <c r="O95" s="32">
        <v>12.4</v>
      </c>
      <c r="P95" s="32" t="s">
        <v>461</v>
      </c>
      <c r="Q95" s="32">
        <v>0</v>
      </c>
      <c r="R95" s="32">
        <v>4</v>
      </c>
      <c r="S95" s="32">
        <v>63.9</v>
      </c>
      <c r="T95" s="32">
        <v>100</v>
      </c>
      <c r="U95" s="32">
        <v>11385</v>
      </c>
      <c r="V95" s="32">
        <v>12985</v>
      </c>
      <c r="W95" s="32">
        <v>34.700000000000003</v>
      </c>
      <c r="X95" s="32">
        <v>100</v>
      </c>
      <c r="Y95" s="32">
        <v>8.6</v>
      </c>
      <c r="Z95" s="32">
        <v>8.6999999999999993</v>
      </c>
      <c r="AA95" s="32">
        <v>1.7</v>
      </c>
      <c r="AB95" s="32">
        <v>0.7</v>
      </c>
      <c r="AC95" s="32" t="s">
        <v>462</v>
      </c>
      <c r="AD95" s="32">
        <v>0</v>
      </c>
      <c r="AE95" s="32">
        <v>0</v>
      </c>
    </row>
    <row r="96" spans="1:31" x14ac:dyDescent="0.45">
      <c r="A96" s="32" t="s">
        <v>456</v>
      </c>
      <c r="B96" s="32" t="s">
        <v>457</v>
      </c>
      <c r="C96" s="32" t="s">
        <v>285</v>
      </c>
      <c r="D96" s="32" t="s">
        <v>458</v>
      </c>
      <c r="E96" s="32" t="s">
        <v>276</v>
      </c>
      <c r="F96" s="32" t="s">
        <v>269</v>
      </c>
      <c r="G96" s="32" t="s">
        <v>206</v>
      </c>
      <c r="H96" s="32" t="s">
        <v>250</v>
      </c>
      <c r="I96" s="32" t="s">
        <v>243</v>
      </c>
      <c r="J96" s="32" t="s">
        <v>71</v>
      </c>
      <c r="K96" s="32" t="s">
        <v>277</v>
      </c>
      <c r="L96" s="32">
        <v>8</v>
      </c>
      <c r="M96" s="32">
        <v>10.95</v>
      </c>
      <c r="N96" s="32">
        <v>82.1</v>
      </c>
      <c r="O96" s="32">
        <v>176.48</v>
      </c>
      <c r="P96" s="32" t="s">
        <v>463</v>
      </c>
      <c r="Q96" s="32">
        <v>1.3234399999999999</v>
      </c>
      <c r="R96" s="32">
        <v>6</v>
      </c>
      <c r="S96" s="32">
        <v>23.2</v>
      </c>
      <c r="T96" s="32">
        <v>100</v>
      </c>
      <c r="U96" s="32">
        <v>9995</v>
      </c>
      <c r="V96" s="32">
        <v>10315</v>
      </c>
      <c r="W96" s="32">
        <v>13.4</v>
      </c>
      <c r="X96" s="32">
        <v>99.6</v>
      </c>
      <c r="Y96" s="32">
        <v>8.6999999999999993</v>
      </c>
      <c r="Z96" s="32">
        <v>8.6999999999999993</v>
      </c>
      <c r="AA96" s="32">
        <v>0</v>
      </c>
      <c r="AB96" s="32">
        <v>0</v>
      </c>
      <c r="AC96" s="32" t="s">
        <v>464</v>
      </c>
      <c r="AD96" s="32">
        <v>0</v>
      </c>
      <c r="AE96" s="32">
        <v>0</v>
      </c>
    </row>
    <row r="97" spans="1:31" x14ac:dyDescent="0.45">
      <c r="A97" s="32" t="s">
        <v>456</v>
      </c>
      <c r="B97" s="32" t="s">
        <v>457</v>
      </c>
      <c r="C97" s="32" t="s">
        <v>285</v>
      </c>
      <c r="D97" s="32" t="s">
        <v>458</v>
      </c>
      <c r="E97" s="32" t="s">
        <v>240</v>
      </c>
      <c r="F97" s="32" t="s">
        <v>241</v>
      </c>
      <c r="G97" s="32" t="s">
        <v>206</v>
      </c>
      <c r="H97" s="32" t="s">
        <v>242</v>
      </c>
      <c r="I97" s="32" t="s">
        <v>243</v>
      </c>
      <c r="J97" s="32" t="s">
        <v>71</v>
      </c>
      <c r="K97" s="32" t="s">
        <v>244</v>
      </c>
      <c r="L97" s="32">
        <v>200</v>
      </c>
      <c r="M97" s="32">
        <v>430.4</v>
      </c>
      <c r="N97" s="32">
        <v>129.1</v>
      </c>
      <c r="O97" s="32">
        <v>130.78</v>
      </c>
      <c r="P97" s="32" t="s">
        <v>465</v>
      </c>
      <c r="Q97" s="32">
        <v>2.2920799999999999</v>
      </c>
      <c r="R97" s="32">
        <v>4</v>
      </c>
      <c r="S97" s="32">
        <v>7.2</v>
      </c>
      <c r="T97" s="32">
        <v>86</v>
      </c>
      <c r="U97" s="32">
        <v>11835</v>
      </c>
      <c r="V97" s="32">
        <v>14335</v>
      </c>
      <c r="W97" s="32">
        <v>10.8</v>
      </c>
      <c r="X97" s="32">
        <v>20</v>
      </c>
      <c r="Y97" s="32">
        <v>10.6</v>
      </c>
      <c r="Z97" s="32">
        <v>12.5</v>
      </c>
      <c r="AA97" s="32">
        <v>0</v>
      </c>
      <c r="AB97" s="32">
        <v>0.1</v>
      </c>
      <c r="AC97" s="32" t="s">
        <v>466</v>
      </c>
      <c r="AD97" s="32">
        <v>0</v>
      </c>
      <c r="AE97" s="32">
        <v>0</v>
      </c>
    </row>
    <row r="98" spans="1:31" x14ac:dyDescent="0.45">
      <c r="A98" s="32" t="s">
        <v>456</v>
      </c>
      <c r="B98" s="32" t="s">
        <v>457</v>
      </c>
      <c r="C98" s="32" t="s">
        <v>285</v>
      </c>
      <c r="D98" s="32" t="s">
        <v>458</v>
      </c>
      <c r="E98" s="32" t="s">
        <v>240</v>
      </c>
      <c r="F98" s="32" t="s">
        <v>241</v>
      </c>
      <c r="G98" s="32" t="s">
        <v>206</v>
      </c>
      <c r="H98" s="32" t="s">
        <v>242</v>
      </c>
      <c r="I98" s="32" t="s">
        <v>247</v>
      </c>
      <c r="J98" s="32" t="s">
        <v>71</v>
      </c>
      <c r="K98" s="32" t="s">
        <v>244</v>
      </c>
      <c r="L98" s="32">
        <v>200</v>
      </c>
      <c r="M98" s="32">
        <v>430.4</v>
      </c>
      <c r="N98" s="32">
        <v>129.1</v>
      </c>
      <c r="O98" s="32">
        <v>251.27</v>
      </c>
      <c r="P98" s="32" t="s">
        <v>467</v>
      </c>
      <c r="Q98" s="32">
        <v>4.7147899999999998</v>
      </c>
      <c r="R98" s="32">
        <v>4</v>
      </c>
      <c r="S98" s="32">
        <v>13.2</v>
      </c>
      <c r="T98" s="32">
        <v>92</v>
      </c>
      <c r="U98" s="32">
        <v>14443</v>
      </c>
      <c r="V98" s="32">
        <v>15833</v>
      </c>
      <c r="W98" s="32">
        <v>6.5</v>
      </c>
      <c r="X98" s="32">
        <v>18.600000000000001</v>
      </c>
      <c r="Y98" s="32">
        <v>13.2</v>
      </c>
      <c r="Z98" s="32">
        <v>13.8</v>
      </c>
      <c r="AA98" s="32">
        <v>0</v>
      </c>
      <c r="AB98" s="32">
        <v>1.2</v>
      </c>
      <c r="AC98" s="32" t="s">
        <v>468</v>
      </c>
      <c r="AD98" s="32">
        <v>0</v>
      </c>
      <c r="AE98" s="32">
        <v>0</v>
      </c>
    </row>
    <row r="99" spans="1:31" x14ac:dyDescent="0.45">
      <c r="A99" s="32" t="s">
        <v>456</v>
      </c>
      <c r="B99" s="32" t="s">
        <v>457</v>
      </c>
      <c r="C99" s="32" t="s">
        <v>285</v>
      </c>
      <c r="D99" s="32" t="s">
        <v>458</v>
      </c>
      <c r="E99" s="32" t="s">
        <v>240</v>
      </c>
      <c r="F99" s="32" t="s">
        <v>241</v>
      </c>
      <c r="G99" s="32" t="s">
        <v>206</v>
      </c>
      <c r="H99" s="32" t="s">
        <v>250</v>
      </c>
      <c r="I99" s="32" t="s">
        <v>243</v>
      </c>
      <c r="J99" s="32" t="s">
        <v>71</v>
      </c>
      <c r="K99" s="32" t="s">
        <v>251</v>
      </c>
      <c r="L99" s="32">
        <v>400</v>
      </c>
      <c r="M99" s="32">
        <v>859.58</v>
      </c>
      <c r="N99" s="32">
        <v>128.9</v>
      </c>
      <c r="O99" s="32">
        <v>306.01</v>
      </c>
      <c r="P99" s="32" t="s">
        <v>469</v>
      </c>
      <c r="Q99" s="32">
        <v>5.8269399999999996</v>
      </c>
      <c r="R99" s="32">
        <v>265</v>
      </c>
      <c r="S99" s="32">
        <v>12.9</v>
      </c>
      <c r="T99" s="32">
        <v>99</v>
      </c>
      <c r="U99" s="32">
        <v>14331</v>
      </c>
      <c r="V99" s="32">
        <v>14331</v>
      </c>
      <c r="W99" s="32">
        <v>11.3</v>
      </c>
      <c r="X99" s="32">
        <v>32.5</v>
      </c>
      <c r="Y99" s="32">
        <v>14.1</v>
      </c>
      <c r="Z99" s="32">
        <v>14.2</v>
      </c>
      <c r="AA99" s="32">
        <v>0</v>
      </c>
      <c r="AB99" s="32">
        <v>0.2</v>
      </c>
      <c r="AC99" s="32" t="s">
        <v>470</v>
      </c>
      <c r="AD99" s="32">
        <v>0</v>
      </c>
      <c r="AE99" s="32">
        <v>0</v>
      </c>
    </row>
    <row r="100" spans="1:31" x14ac:dyDescent="0.45">
      <c r="A100" s="32" t="s">
        <v>456</v>
      </c>
      <c r="B100" s="32" t="s">
        <v>457</v>
      </c>
      <c r="C100" s="32" t="s">
        <v>285</v>
      </c>
      <c r="D100" s="32" t="s">
        <v>458</v>
      </c>
      <c r="E100" s="32" t="s">
        <v>240</v>
      </c>
      <c r="F100" s="32" t="s">
        <v>241</v>
      </c>
      <c r="G100" s="32" t="s">
        <v>206</v>
      </c>
      <c r="H100" s="32" t="s">
        <v>250</v>
      </c>
      <c r="I100" s="32" t="s">
        <v>243</v>
      </c>
      <c r="J100" s="32" t="s">
        <v>71</v>
      </c>
      <c r="K100" s="32" t="s">
        <v>254</v>
      </c>
      <c r="L100" s="32">
        <v>320</v>
      </c>
      <c r="M100" s="32">
        <v>301.39</v>
      </c>
      <c r="N100" s="32">
        <v>56.5</v>
      </c>
      <c r="O100" s="32">
        <v>149.19</v>
      </c>
      <c r="P100" s="32" t="s">
        <v>471</v>
      </c>
      <c r="Q100" s="32">
        <v>2.4108999999999998</v>
      </c>
      <c r="R100" s="32">
        <v>270</v>
      </c>
      <c r="S100" s="32">
        <v>9</v>
      </c>
      <c r="T100" s="32">
        <v>99</v>
      </c>
      <c r="U100" s="32">
        <v>14331</v>
      </c>
      <c r="V100" s="32">
        <v>14331</v>
      </c>
      <c r="W100" s="32">
        <v>9.1999999999999993</v>
      </c>
      <c r="X100" s="32">
        <v>29.8</v>
      </c>
      <c r="Y100" s="32">
        <v>14.2</v>
      </c>
      <c r="Z100" s="32">
        <v>14.2</v>
      </c>
      <c r="AA100" s="32">
        <v>0</v>
      </c>
      <c r="AB100" s="32">
        <v>0.1</v>
      </c>
      <c r="AC100" s="32" t="s">
        <v>472</v>
      </c>
      <c r="AD100" s="32">
        <v>0</v>
      </c>
      <c r="AE100" s="32">
        <v>0</v>
      </c>
    </row>
    <row r="101" spans="1:31" x14ac:dyDescent="0.45">
      <c r="A101" s="32" t="s">
        <v>456</v>
      </c>
      <c r="B101" s="32" t="s">
        <v>457</v>
      </c>
      <c r="C101" s="32" t="s">
        <v>285</v>
      </c>
      <c r="D101" s="32" t="s">
        <v>458</v>
      </c>
      <c r="E101" s="32" t="s">
        <v>257</v>
      </c>
      <c r="F101" s="32" t="s">
        <v>258</v>
      </c>
      <c r="G101" s="32" t="s">
        <v>206</v>
      </c>
      <c r="H101" s="32" t="s">
        <v>250</v>
      </c>
      <c r="I101" s="32" t="s">
        <v>243</v>
      </c>
      <c r="J101" s="32" t="s">
        <v>260</v>
      </c>
      <c r="K101" s="32" t="s">
        <v>251</v>
      </c>
      <c r="L101" s="32">
        <v>200</v>
      </c>
      <c r="M101" s="32">
        <v>428.83</v>
      </c>
      <c r="N101" s="32">
        <v>128.6</v>
      </c>
      <c r="O101" s="32">
        <v>292.93</v>
      </c>
      <c r="P101" s="32" t="s">
        <v>473</v>
      </c>
      <c r="Q101" s="32">
        <v>3.2071299999999998</v>
      </c>
      <c r="R101" s="32">
        <v>120</v>
      </c>
      <c r="S101" s="32">
        <v>85</v>
      </c>
      <c r="T101" s="32">
        <v>99</v>
      </c>
      <c r="U101" s="32">
        <v>5509</v>
      </c>
      <c r="V101" s="32">
        <v>5509</v>
      </c>
      <c r="W101" s="32">
        <v>19.399999999999999</v>
      </c>
      <c r="X101" s="32">
        <v>28.3</v>
      </c>
      <c r="Y101" s="32">
        <v>10.6</v>
      </c>
      <c r="Z101" s="32">
        <v>10.6</v>
      </c>
      <c r="AA101" s="32">
        <v>0</v>
      </c>
      <c r="AB101" s="32">
        <v>2.2999999999999998</v>
      </c>
      <c r="AC101" s="32" t="s">
        <v>474</v>
      </c>
      <c r="AD101" s="32">
        <v>0</v>
      </c>
      <c r="AE101" s="32">
        <v>0</v>
      </c>
    </row>
    <row r="102" spans="1:31" x14ac:dyDescent="0.45">
      <c r="A102" s="32" t="s">
        <v>456</v>
      </c>
      <c r="B102" s="32" t="s">
        <v>457</v>
      </c>
      <c r="C102" s="32" t="s">
        <v>285</v>
      </c>
      <c r="D102" s="32" t="s">
        <v>458</v>
      </c>
      <c r="E102" s="32" t="s">
        <v>257</v>
      </c>
      <c r="F102" s="32" t="s">
        <v>258</v>
      </c>
      <c r="G102" s="32" t="s">
        <v>206</v>
      </c>
      <c r="H102" s="32" t="s">
        <v>250</v>
      </c>
      <c r="I102" s="32" t="s">
        <v>243</v>
      </c>
      <c r="J102" s="32" t="s">
        <v>260</v>
      </c>
      <c r="K102" s="32" t="s">
        <v>254</v>
      </c>
      <c r="L102" s="32">
        <v>160</v>
      </c>
      <c r="M102" s="32">
        <v>152.72</v>
      </c>
      <c r="N102" s="32">
        <v>57.3</v>
      </c>
      <c r="O102" s="32">
        <v>143.88</v>
      </c>
      <c r="P102" s="32" t="s">
        <v>475</v>
      </c>
      <c r="Q102" s="32">
        <v>1.2093799999999999</v>
      </c>
      <c r="R102" s="32">
        <v>120</v>
      </c>
      <c r="S102" s="32">
        <v>61.9</v>
      </c>
      <c r="T102" s="32">
        <v>99</v>
      </c>
      <c r="U102" s="32">
        <v>5509</v>
      </c>
      <c r="V102" s="32">
        <v>5509</v>
      </c>
      <c r="W102" s="32">
        <v>16</v>
      </c>
      <c r="X102" s="32">
        <v>26.1</v>
      </c>
      <c r="Y102" s="32">
        <v>10.6</v>
      </c>
      <c r="Z102" s="32">
        <v>10.6</v>
      </c>
      <c r="AA102" s="32">
        <v>0</v>
      </c>
      <c r="AB102" s="32">
        <v>2.1</v>
      </c>
      <c r="AC102" s="32" t="s">
        <v>476</v>
      </c>
      <c r="AD102" s="32">
        <v>0</v>
      </c>
      <c r="AE102" s="32">
        <v>0</v>
      </c>
    </row>
    <row r="103" spans="1:31" x14ac:dyDescent="0.45">
      <c r="A103" s="32" t="s">
        <v>456</v>
      </c>
      <c r="B103" s="32" t="s">
        <v>457</v>
      </c>
      <c r="C103" s="32" t="s">
        <v>285</v>
      </c>
      <c r="D103" s="32" t="s">
        <v>458</v>
      </c>
      <c r="E103" s="32" t="s">
        <v>257</v>
      </c>
      <c r="F103" s="32" t="s">
        <v>269</v>
      </c>
      <c r="G103" s="32" t="s">
        <v>206</v>
      </c>
      <c r="H103" s="32" t="s">
        <v>250</v>
      </c>
      <c r="I103" s="32" t="s">
        <v>243</v>
      </c>
      <c r="J103" s="32" t="s">
        <v>270</v>
      </c>
      <c r="K103" s="32" t="s">
        <v>251</v>
      </c>
      <c r="L103" s="32">
        <v>200</v>
      </c>
      <c r="M103" s="32">
        <v>428.8</v>
      </c>
      <c r="N103" s="32">
        <v>128.6</v>
      </c>
      <c r="O103" s="32">
        <v>292.41000000000003</v>
      </c>
      <c r="P103" s="32" t="s">
        <v>477</v>
      </c>
      <c r="Q103" s="32">
        <v>5.1535599999999997</v>
      </c>
      <c r="R103" s="32">
        <v>145</v>
      </c>
      <c r="S103" s="32">
        <v>67.5</v>
      </c>
      <c r="T103" s="32">
        <v>99</v>
      </c>
      <c r="U103" s="32">
        <v>5509</v>
      </c>
      <c r="V103" s="32">
        <v>5509</v>
      </c>
      <c r="W103" s="32">
        <v>17.7</v>
      </c>
      <c r="X103" s="32">
        <v>29.3</v>
      </c>
      <c r="Y103" s="32">
        <v>10.5</v>
      </c>
      <c r="Z103" s="32">
        <v>10.6</v>
      </c>
      <c r="AA103" s="32">
        <v>0</v>
      </c>
      <c r="AB103" s="32">
        <v>2.2999999999999998</v>
      </c>
      <c r="AC103" s="32" t="s">
        <v>478</v>
      </c>
      <c r="AD103" s="32">
        <v>0</v>
      </c>
      <c r="AE103" s="32">
        <v>0</v>
      </c>
    </row>
    <row r="104" spans="1:31" x14ac:dyDescent="0.45">
      <c r="A104" s="32" t="s">
        <v>456</v>
      </c>
      <c r="B104" s="32" t="s">
        <v>457</v>
      </c>
      <c r="C104" s="32" t="s">
        <v>285</v>
      </c>
      <c r="D104" s="32" t="s">
        <v>458</v>
      </c>
      <c r="E104" s="32" t="s">
        <v>257</v>
      </c>
      <c r="F104" s="32" t="s">
        <v>269</v>
      </c>
      <c r="G104" s="32" t="s">
        <v>206</v>
      </c>
      <c r="H104" s="32" t="s">
        <v>250</v>
      </c>
      <c r="I104" s="32" t="s">
        <v>243</v>
      </c>
      <c r="J104" s="32" t="s">
        <v>273</v>
      </c>
      <c r="K104" s="32" t="s">
        <v>251</v>
      </c>
      <c r="L104" s="32">
        <v>200</v>
      </c>
      <c r="M104" s="32">
        <v>428.83</v>
      </c>
      <c r="N104" s="32">
        <v>128.6</v>
      </c>
      <c r="O104" s="32">
        <v>287.2</v>
      </c>
      <c r="P104" s="32" t="s">
        <v>479</v>
      </c>
      <c r="Q104" s="32">
        <v>3.6353200000000001</v>
      </c>
      <c r="R104" s="32">
        <v>195</v>
      </c>
      <c r="S104" s="32">
        <v>48.3</v>
      </c>
      <c r="T104" s="32">
        <v>99</v>
      </c>
      <c r="U104" s="32">
        <v>5509</v>
      </c>
      <c r="V104" s="32">
        <v>5509</v>
      </c>
      <c r="W104" s="32">
        <v>13.8</v>
      </c>
      <c r="X104" s="32">
        <v>31</v>
      </c>
      <c r="Y104" s="32">
        <v>10.7</v>
      </c>
      <c r="Z104" s="32">
        <v>10.8</v>
      </c>
      <c r="AA104" s="32">
        <v>0</v>
      </c>
      <c r="AB104" s="32">
        <v>1.3</v>
      </c>
      <c r="AC104" s="32" t="s">
        <v>480</v>
      </c>
      <c r="AD104" s="32">
        <v>0</v>
      </c>
      <c r="AE104" s="32">
        <v>0</v>
      </c>
    </row>
    <row r="105" spans="1:31" x14ac:dyDescent="0.45">
      <c r="A105" s="32" t="s">
        <v>456</v>
      </c>
      <c r="B105" s="32" t="s">
        <v>457</v>
      </c>
      <c r="C105" s="32" t="s">
        <v>285</v>
      </c>
      <c r="D105" s="32" t="s">
        <v>458</v>
      </c>
      <c r="E105" s="32" t="s">
        <v>257</v>
      </c>
      <c r="F105" s="32" t="s">
        <v>258</v>
      </c>
      <c r="G105" s="32" t="s">
        <v>259</v>
      </c>
      <c r="H105" s="32" t="s">
        <v>250</v>
      </c>
      <c r="I105" s="32" t="s">
        <v>243</v>
      </c>
      <c r="J105" s="32" t="s">
        <v>260</v>
      </c>
      <c r="K105" s="32" t="s">
        <v>251</v>
      </c>
      <c r="L105" s="32">
        <v>75</v>
      </c>
      <c r="M105" s="32">
        <v>160.65</v>
      </c>
      <c r="N105" s="32">
        <v>128.5</v>
      </c>
      <c r="O105" s="32">
        <v>280.31</v>
      </c>
      <c r="P105" s="32" t="s">
        <v>481</v>
      </c>
      <c r="Q105" s="32">
        <v>2.2309700000000001</v>
      </c>
      <c r="R105" s="32">
        <v>65</v>
      </c>
      <c r="S105" s="32">
        <v>0</v>
      </c>
      <c r="T105" s="32">
        <v>0</v>
      </c>
      <c r="U105" s="32">
        <v>1416</v>
      </c>
      <c r="V105" s="32">
        <v>1416</v>
      </c>
      <c r="W105" s="32">
        <v>20.6</v>
      </c>
      <c r="X105" s="32">
        <v>39.700000000000003</v>
      </c>
      <c r="Y105" s="32">
        <v>10.5</v>
      </c>
      <c r="Z105" s="32">
        <v>10.5</v>
      </c>
      <c r="AA105" s="32">
        <v>0</v>
      </c>
      <c r="AB105" s="32">
        <v>1.3</v>
      </c>
      <c r="AC105" s="32" t="s">
        <v>482</v>
      </c>
      <c r="AD105" s="32">
        <v>0</v>
      </c>
      <c r="AE105" s="32">
        <v>0</v>
      </c>
    </row>
    <row r="106" spans="1:31" x14ac:dyDescent="0.45">
      <c r="A106" s="32" t="s">
        <v>456</v>
      </c>
      <c r="B106" s="32" t="s">
        <v>457</v>
      </c>
      <c r="C106" s="32" t="s">
        <v>285</v>
      </c>
      <c r="D106" s="32" t="s">
        <v>458</v>
      </c>
      <c r="E106" s="32" t="s">
        <v>257</v>
      </c>
      <c r="F106" s="32" t="s">
        <v>258</v>
      </c>
      <c r="G106" s="32" t="s">
        <v>259</v>
      </c>
      <c r="H106" s="32" t="s">
        <v>250</v>
      </c>
      <c r="I106" s="32" t="s">
        <v>243</v>
      </c>
      <c r="J106" s="32" t="s">
        <v>260</v>
      </c>
      <c r="K106" s="32" t="s">
        <v>254</v>
      </c>
      <c r="L106" s="32">
        <v>80</v>
      </c>
      <c r="M106" s="32">
        <v>75.12</v>
      </c>
      <c r="N106" s="32">
        <v>56.3</v>
      </c>
      <c r="O106" s="32">
        <v>121.56</v>
      </c>
      <c r="P106" s="32" t="s">
        <v>483</v>
      </c>
      <c r="Q106" s="32">
        <v>1.6630799999999999</v>
      </c>
      <c r="R106" s="32">
        <v>70</v>
      </c>
      <c r="S106" s="32">
        <v>0</v>
      </c>
      <c r="T106" s="32">
        <v>0</v>
      </c>
      <c r="U106" s="32">
        <v>1416</v>
      </c>
      <c r="V106" s="32">
        <v>1416</v>
      </c>
      <c r="W106" s="32">
        <v>23</v>
      </c>
      <c r="X106" s="32">
        <v>42.9</v>
      </c>
      <c r="Y106" s="32">
        <v>10.5</v>
      </c>
      <c r="Z106" s="32">
        <v>10.5</v>
      </c>
      <c r="AA106" s="32">
        <v>0</v>
      </c>
      <c r="AB106" s="32">
        <v>1.6</v>
      </c>
      <c r="AC106" s="32" t="s">
        <v>484</v>
      </c>
      <c r="AD106" s="32">
        <v>0</v>
      </c>
      <c r="AE106" s="32">
        <v>0</v>
      </c>
    </row>
    <row r="107" spans="1:31" x14ac:dyDescent="0.45">
      <c r="A107" s="32" t="s">
        <v>456</v>
      </c>
      <c r="B107" s="32" t="s">
        <v>457</v>
      </c>
      <c r="C107" s="32" t="s">
        <v>285</v>
      </c>
      <c r="D107" s="32" t="s">
        <v>458</v>
      </c>
      <c r="E107" s="32" t="s">
        <v>257</v>
      </c>
      <c r="F107" s="32" t="s">
        <v>269</v>
      </c>
      <c r="G107" s="32" t="s">
        <v>259</v>
      </c>
      <c r="H107" s="32" t="s">
        <v>250</v>
      </c>
      <c r="I107" s="32" t="s">
        <v>243</v>
      </c>
      <c r="J107" s="32" t="s">
        <v>273</v>
      </c>
      <c r="K107" s="32" t="s">
        <v>251</v>
      </c>
      <c r="L107" s="32">
        <v>200</v>
      </c>
      <c r="M107" s="32">
        <v>428.83</v>
      </c>
      <c r="N107" s="32">
        <v>128.6</v>
      </c>
      <c r="O107" s="32">
        <v>434.11</v>
      </c>
      <c r="P107" s="32" t="s">
        <v>485</v>
      </c>
      <c r="Q107" s="32">
        <v>4.7527499999999998</v>
      </c>
      <c r="R107" s="32">
        <v>85</v>
      </c>
      <c r="S107" s="32">
        <v>0</v>
      </c>
      <c r="T107" s="32">
        <v>0</v>
      </c>
      <c r="U107" s="32">
        <v>1416</v>
      </c>
      <c r="V107" s="32">
        <v>1416</v>
      </c>
      <c r="W107" s="32">
        <v>28.9</v>
      </c>
      <c r="X107" s="32">
        <v>44</v>
      </c>
      <c r="Y107" s="32">
        <v>10.5</v>
      </c>
      <c r="Z107" s="32">
        <v>10.5</v>
      </c>
      <c r="AA107" s="32">
        <v>0</v>
      </c>
      <c r="AB107" s="32">
        <v>1.9</v>
      </c>
      <c r="AC107" s="32" t="s">
        <v>486</v>
      </c>
      <c r="AD107" s="32">
        <v>0</v>
      </c>
      <c r="AE107" s="32">
        <v>0</v>
      </c>
    </row>
    <row r="108" spans="1:31" x14ac:dyDescent="0.45">
      <c r="A108" s="32" t="s">
        <v>456</v>
      </c>
      <c r="B108" s="32" t="s">
        <v>457</v>
      </c>
      <c r="C108" s="32" t="s">
        <v>285</v>
      </c>
      <c r="D108" s="32" t="s">
        <v>458</v>
      </c>
      <c r="E108" s="32" t="s">
        <v>257</v>
      </c>
      <c r="F108" s="32" t="s">
        <v>269</v>
      </c>
      <c r="G108" s="32" t="s">
        <v>259</v>
      </c>
      <c r="H108" s="32" t="s">
        <v>250</v>
      </c>
      <c r="I108" s="32" t="s">
        <v>243</v>
      </c>
      <c r="J108" s="32" t="s">
        <v>273</v>
      </c>
      <c r="K108" s="32" t="s">
        <v>254</v>
      </c>
      <c r="L108" s="32">
        <v>160</v>
      </c>
      <c r="M108" s="32">
        <v>150.25</v>
      </c>
      <c r="N108" s="32">
        <v>56.3</v>
      </c>
      <c r="O108" s="32">
        <v>163.13999999999999</v>
      </c>
      <c r="P108" s="32" t="s">
        <v>487</v>
      </c>
      <c r="Q108" s="32">
        <v>1.6970400000000001</v>
      </c>
      <c r="R108" s="32">
        <v>85</v>
      </c>
      <c r="S108" s="32">
        <v>0</v>
      </c>
      <c r="T108" s="32">
        <v>0</v>
      </c>
      <c r="U108" s="32">
        <v>1416</v>
      </c>
      <c r="V108" s="32">
        <v>1416</v>
      </c>
      <c r="W108" s="32">
        <v>28.1</v>
      </c>
      <c r="X108" s="32">
        <v>39.9</v>
      </c>
      <c r="Y108" s="32">
        <v>10.5</v>
      </c>
      <c r="Z108" s="32">
        <v>10.5</v>
      </c>
      <c r="AA108" s="32">
        <v>0</v>
      </c>
      <c r="AB108" s="32">
        <v>1.7</v>
      </c>
      <c r="AC108" s="32" t="s">
        <v>488</v>
      </c>
      <c r="AD108" s="32">
        <v>0</v>
      </c>
      <c r="AE108" s="32">
        <v>0</v>
      </c>
    </row>
    <row r="109" spans="1:31" x14ac:dyDescent="0.45">
      <c r="A109" s="32" t="s">
        <v>456</v>
      </c>
      <c r="B109" s="32" t="s">
        <v>457</v>
      </c>
      <c r="C109" s="32" t="s">
        <v>285</v>
      </c>
      <c r="D109" s="32" t="s">
        <v>458</v>
      </c>
      <c r="E109" s="32" t="s">
        <v>257</v>
      </c>
      <c r="F109" s="32" t="s">
        <v>269</v>
      </c>
      <c r="G109" s="32" t="s">
        <v>259</v>
      </c>
      <c r="H109" s="32" t="s">
        <v>295</v>
      </c>
      <c r="I109" s="32" t="s">
        <v>243</v>
      </c>
      <c r="J109" s="32" t="s">
        <v>273</v>
      </c>
      <c r="K109" s="32" t="s">
        <v>244</v>
      </c>
      <c r="L109" s="32">
        <v>200</v>
      </c>
      <c r="M109" s="32">
        <v>428.83</v>
      </c>
      <c r="N109" s="32">
        <v>128.6</v>
      </c>
      <c r="O109" s="32">
        <v>677.44</v>
      </c>
      <c r="P109" s="32" t="s">
        <v>489</v>
      </c>
      <c r="Q109" s="32">
        <v>13.15305</v>
      </c>
      <c r="R109" s="32">
        <v>4</v>
      </c>
      <c r="S109" s="32">
        <v>0</v>
      </c>
      <c r="T109" s="32">
        <v>0</v>
      </c>
      <c r="U109" s="32">
        <v>1416</v>
      </c>
      <c r="V109" s="32">
        <v>1416</v>
      </c>
      <c r="W109" s="32">
        <v>19.100000000000001</v>
      </c>
      <c r="X109" s="32">
        <v>29.1</v>
      </c>
      <c r="Y109" s="32">
        <v>10.5</v>
      </c>
      <c r="Z109" s="32">
        <v>10.5</v>
      </c>
      <c r="AA109" s="32">
        <v>0</v>
      </c>
      <c r="AB109" s="32">
        <v>2.4</v>
      </c>
      <c r="AC109" s="32" t="s">
        <v>490</v>
      </c>
      <c r="AD109" s="32">
        <v>0</v>
      </c>
      <c r="AE109" s="32">
        <v>0</v>
      </c>
    </row>
    <row r="110" spans="1:31" x14ac:dyDescent="0.45">
      <c r="A110" s="32" t="s">
        <v>491</v>
      </c>
      <c r="B110" s="32" t="s">
        <v>492</v>
      </c>
      <c r="C110" s="32" t="s">
        <v>285</v>
      </c>
      <c r="D110" s="32" t="s">
        <v>493</v>
      </c>
      <c r="E110" s="32" t="s">
        <v>276</v>
      </c>
      <c r="F110" s="32" t="s">
        <v>269</v>
      </c>
      <c r="G110" s="32" t="s">
        <v>206</v>
      </c>
      <c r="H110" s="32" t="s">
        <v>242</v>
      </c>
      <c r="I110" s="32" t="s">
        <v>243</v>
      </c>
      <c r="J110" s="32" t="s">
        <v>71</v>
      </c>
      <c r="K110" s="32" t="s">
        <v>277</v>
      </c>
      <c r="L110" s="32">
        <v>4</v>
      </c>
      <c r="M110" s="32">
        <v>5.56</v>
      </c>
      <c r="N110" s="32">
        <v>83.4</v>
      </c>
      <c r="O110" s="32">
        <v>10.3</v>
      </c>
      <c r="P110" s="32" t="s">
        <v>452</v>
      </c>
      <c r="Q110" s="32">
        <v>0</v>
      </c>
      <c r="R110" s="32">
        <v>4</v>
      </c>
      <c r="S110" s="32">
        <v>55.7</v>
      </c>
      <c r="T110" s="32">
        <v>99</v>
      </c>
      <c r="U110" s="32">
        <v>12153</v>
      </c>
      <c r="V110" s="32">
        <v>13227</v>
      </c>
      <c r="W110" s="32">
        <v>27.1</v>
      </c>
      <c r="X110" s="32">
        <v>100</v>
      </c>
      <c r="Y110" s="32">
        <v>9.1999999999999993</v>
      </c>
      <c r="Z110" s="32">
        <v>9.1999999999999993</v>
      </c>
      <c r="AA110" s="32">
        <v>10.3</v>
      </c>
      <c r="AB110" s="32">
        <v>2.5</v>
      </c>
      <c r="AC110" s="32" t="s">
        <v>494</v>
      </c>
      <c r="AD110" s="32">
        <v>0</v>
      </c>
      <c r="AE110" s="32">
        <v>0</v>
      </c>
    </row>
    <row r="111" spans="1:31" x14ac:dyDescent="0.45">
      <c r="A111" s="32" t="s">
        <v>491</v>
      </c>
      <c r="B111" s="32" t="s">
        <v>492</v>
      </c>
      <c r="C111" s="32" t="s">
        <v>285</v>
      </c>
      <c r="D111" s="32" t="s">
        <v>493</v>
      </c>
      <c r="E111" s="32" t="s">
        <v>276</v>
      </c>
      <c r="F111" s="32" t="s">
        <v>269</v>
      </c>
      <c r="G111" s="32" t="s">
        <v>206</v>
      </c>
      <c r="H111" s="32" t="s">
        <v>242</v>
      </c>
      <c r="I111" s="32" t="s">
        <v>247</v>
      </c>
      <c r="J111" s="32" t="s">
        <v>71</v>
      </c>
      <c r="K111" s="32" t="s">
        <v>277</v>
      </c>
      <c r="L111" s="32">
        <v>4</v>
      </c>
      <c r="M111" s="32">
        <v>5.56</v>
      </c>
      <c r="N111" s="32">
        <v>83.4</v>
      </c>
      <c r="O111" s="32">
        <v>12.3</v>
      </c>
      <c r="P111" s="32" t="s">
        <v>495</v>
      </c>
      <c r="Q111" s="32">
        <v>0</v>
      </c>
      <c r="R111" s="32">
        <v>4</v>
      </c>
      <c r="S111" s="32">
        <v>62.7</v>
      </c>
      <c r="T111" s="32">
        <v>100</v>
      </c>
      <c r="U111" s="32">
        <v>12092</v>
      </c>
      <c r="V111" s="32">
        <v>13627</v>
      </c>
      <c r="W111" s="32">
        <v>29.4</v>
      </c>
      <c r="X111" s="32">
        <v>100</v>
      </c>
      <c r="Y111" s="32">
        <v>9.5</v>
      </c>
      <c r="Z111" s="32">
        <v>9.6</v>
      </c>
      <c r="AA111" s="32">
        <v>3.1</v>
      </c>
      <c r="AB111" s="32">
        <v>1.7</v>
      </c>
      <c r="AC111" s="32" t="s">
        <v>496</v>
      </c>
      <c r="AD111" s="32">
        <v>0</v>
      </c>
      <c r="AE111" s="32">
        <v>0</v>
      </c>
    </row>
    <row r="112" spans="1:31" x14ac:dyDescent="0.45">
      <c r="A112" s="32" t="s">
        <v>491</v>
      </c>
      <c r="B112" s="32" t="s">
        <v>492</v>
      </c>
      <c r="C112" s="32" t="s">
        <v>285</v>
      </c>
      <c r="D112" s="32" t="s">
        <v>493</v>
      </c>
      <c r="E112" s="32" t="s">
        <v>276</v>
      </c>
      <c r="F112" s="32" t="s">
        <v>269</v>
      </c>
      <c r="G112" s="32" t="s">
        <v>206</v>
      </c>
      <c r="H112" s="32" t="s">
        <v>250</v>
      </c>
      <c r="I112" s="32" t="s">
        <v>243</v>
      </c>
      <c r="J112" s="32" t="s">
        <v>71</v>
      </c>
      <c r="K112" s="32" t="s">
        <v>277</v>
      </c>
      <c r="L112" s="32">
        <v>12</v>
      </c>
      <c r="M112" s="32">
        <v>15.92</v>
      </c>
      <c r="N112" s="32">
        <v>79.599999999999994</v>
      </c>
      <c r="O112" s="32">
        <v>169.03</v>
      </c>
      <c r="P112" s="32" t="s">
        <v>497</v>
      </c>
      <c r="Q112" s="32">
        <v>0.91190000000000004</v>
      </c>
      <c r="R112" s="32">
        <v>9</v>
      </c>
      <c r="S112" s="32">
        <v>34.799999999999997</v>
      </c>
      <c r="T112" s="32">
        <v>100</v>
      </c>
      <c r="U112" s="32">
        <v>10657</v>
      </c>
      <c r="V112" s="32">
        <v>10931</v>
      </c>
      <c r="W112" s="32">
        <v>24.4</v>
      </c>
      <c r="X112" s="32">
        <v>100</v>
      </c>
      <c r="Y112" s="32">
        <v>9.6</v>
      </c>
      <c r="Z112" s="32">
        <v>9.6999999999999993</v>
      </c>
      <c r="AA112" s="32">
        <v>0</v>
      </c>
      <c r="AB112" s="32">
        <v>0</v>
      </c>
      <c r="AC112" s="32" t="s">
        <v>498</v>
      </c>
      <c r="AD112" s="32">
        <v>0</v>
      </c>
      <c r="AE112" s="32">
        <v>0</v>
      </c>
    </row>
    <row r="113" spans="1:31" x14ac:dyDescent="0.45">
      <c r="A113" s="32" t="s">
        <v>491</v>
      </c>
      <c r="B113" s="32" t="s">
        <v>492</v>
      </c>
      <c r="C113" s="32" t="s">
        <v>285</v>
      </c>
      <c r="D113" s="32" t="s">
        <v>493</v>
      </c>
      <c r="E113" s="32" t="s">
        <v>240</v>
      </c>
      <c r="F113" s="32" t="s">
        <v>241</v>
      </c>
      <c r="G113" s="32" t="s">
        <v>206</v>
      </c>
      <c r="H113" s="32" t="s">
        <v>242</v>
      </c>
      <c r="I113" s="32" t="s">
        <v>243</v>
      </c>
      <c r="J113" s="32" t="s">
        <v>71</v>
      </c>
      <c r="K113" s="32" t="s">
        <v>244</v>
      </c>
      <c r="L113" s="32">
        <v>200</v>
      </c>
      <c r="M113" s="32">
        <v>430.4</v>
      </c>
      <c r="N113" s="32">
        <v>129.1</v>
      </c>
      <c r="O113" s="32">
        <v>98.79</v>
      </c>
      <c r="P113" s="32" t="s">
        <v>499</v>
      </c>
      <c r="Q113" s="32">
        <v>1.6827300000000001</v>
      </c>
      <c r="R113" s="32">
        <v>4</v>
      </c>
      <c r="S113" s="32">
        <v>6.2</v>
      </c>
      <c r="T113" s="32">
        <v>83</v>
      </c>
      <c r="U113" s="32">
        <v>12916</v>
      </c>
      <c r="V113" s="32">
        <v>16947</v>
      </c>
      <c r="W113" s="32">
        <v>9.6</v>
      </c>
      <c r="X113" s="32">
        <v>18.2</v>
      </c>
      <c r="Y113" s="32">
        <v>10.9</v>
      </c>
      <c r="Z113" s="32">
        <v>12.6</v>
      </c>
      <c r="AA113" s="32">
        <v>3</v>
      </c>
      <c r="AB113" s="32">
        <v>0.2</v>
      </c>
      <c r="AC113" s="32" t="s">
        <v>500</v>
      </c>
      <c r="AD113" s="32">
        <v>0</v>
      </c>
      <c r="AE113" s="32">
        <v>0</v>
      </c>
    </row>
    <row r="114" spans="1:31" x14ac:dyDescent="0.45">
      <c r="A114" s="32" t="s">
        <v>491</v>
      </c>
      <c r="B114" s="32" t="s">
        <v>492</v>
      </c>
      <c r="C114" s="32" t="s">
        <v>285</v>
      </c>
      <c r="D114" s="32" t="s">
        <v>493</v>
      </c>
      <c r="E114" s="32" t="s">
        <v>240</v>
      </c>
      <c r="F114" s="32" t="s">
        <v>241</v>
      </c>
      <c r="G114" s="32" t="s">
        <v>206</v>
      </c>
      <c r="H114" s="32" t="s">
        <v>242</v>
      </c>
      <c r="I114" s="32" t="s">
        <v>247</v>
      </c>
      <c r="J114" s="32" t="s">
        <v>71</v>
      </c>
      <c r="K114" s="32" t="s">
        <v>244</v>
      </c>
      <c r="L114" s="32">
        <v>200</v>
      </c>
      <c r="M114" s="32">
        <v>430.4</v>
      </c>
      <c r="N114" s="32">
        <v>129.1</v>
      </c>
      <c r="O114" s="32">
        <v>232.46</v>
      </c>
      <c r="P114" s="32" t="s">
        <v>501</v>
      </c>
      <c r="Q114" s="32">
        <v>4.3639299999999999</v>
      </c>
      <c r="R114" s="32">
        <v>4</v>
      </c>
      <c r="S114" s="32">
        <v>13</v>
      </c>
      <c r="T114" s="32">
        <v>97</v>
      </c>
      <c r="U114" s="32">
        <v>17051</v>
      </c>
      <c r="V114" s="32">
        <v>18421</v>
      </c>
      <c r="W114" s="32">
        <v>4.7</v>
      </c>
      <c r="X114" s="32">
        <v>18.2</v>
      </c>
      <c r="Y114" s="32">
        <v>13.4</v>
      </c>
      <c r="Z114" s="32">
        <v>14.3</v>
      </c>
      <c r="AA114" s="32">
        <v>0</v>
      </c>
      <c r="AB114" s="32">
        <v>1.2</v>
      </c>
      <c r="AC114" s="32" t="s">
        <v>502</v>
      </c>
      <c r="AD114" s="32">
        <v>0</v>
      </c>
      <c r="AE114" s="32">
        <v>0</v>
      </c>
    </row>
    <row r="115" spans="1:31" x14ac:dyDescent="0.45">
      <c r="A115" s="32" t="s">
        <v>491</v>
      </c>
      <c r="B115" s="32" t="s">
        <v>492</v>
      </c>
      <c r="C115" s="32" t="s">
        <v>285</v>
      </c>
      <c r="D115" s="32" t="s">
        <v>493</v>
      </c>
      <c r="E115" s="32" t="s">
        <v>240</v>
      </c>
      <c r="F115" s="32" t="s">
        <v>241</v>
      </c>
      <c r="G115" s="32" t="s">
        <v>206</v>
      </c>
      <c r="H115" s="32" t="s">
        <v>250</v>
      </c>
      <c r="I115" s="32" t="s">
        <v>243</v>
      </c>
      <c r="J115" s="32" t="s">
        <v>71</v>
      </c>
      <c r="K115" s="32" t="s">
        <v>251</v>
      </c>
      <c r="L115" s="32">
        <v>600</v>
      </c>
      <c r="M115" s="32">
        <v>1288.43</v>
      </c>
      <c r="N115" s="32">
        <v>128.80000000000001</v>
      </c>
      <c r="O115" s="32">
        <v>285.05</v>
      </c>
      <c r="P115" s="32" t="s">
        <v>503</v>
      </c>
      <c r="Q115" s="32">
        <v>2.2813699999999999</v>
      </c>
      <c r="R115" s="32">
        <v>400</v>
      </c>
      <c r="S115" s="32">
        <v>19.2</v>
      </c>
      <c r="T115" s="32">
        <v>94</v>
      </c>
      <c r="U115" s="32">
        <v>16943</v>
      </c>
      <c r="V115" s="32">
        <v>16943</v>
      </c>
      <c r="W115" s="32">
        <v>11.2</v>
      </c>
      <c r="X115" s="32">
        <v>30.2</v>
      </c>
      <c r="Y115" s="32">
        <v>14.7</v>
      </c>
      <c r="Z115" s="32">
        <v>16.100000000000001</v>
      </c>
      <c r="AA115" s="32">
        <v>0</v>
      </c>
      <c r="AB115" s="32">
        <v>1.3</v>
      </c>
      <c r="AC115" s="32" t="s">
        <v>504</v>
      </c>
      <c r="AD115" s="32">
        <v>0</v>
      </c>
      <c r="AE115" s="32">
        <v>0</v>
      </c>
    </row>
    <row r="116" spans="1:31" x14ac:dyDescent="0.45">
      <c r="A116" s="32" t="s">
        <v>491</v>
      </c>
      <c r="B116" s="32" t="s">
        <v>492</v>
      </c>
      <c r="C116" s="32" t="s">
        <v>285</v>
      </c>
      <c r="D116" s="32" t="s">
        <v>493</v>
      </c>
      <c r="E116" s="32" t="s">
        <v>240</v>
      </c>
      <c r="F116" s="32" t="s">
        <v>241</v>
      </c>
      <c r="G116" s="32" t="s">
        <v>206</v>
      </c>
      <c r="H116" s="32" t="s">
        <v>250</v>
      </c>
      <c r="I116" s="32" t="s">
        <v>243</v>
      </c>
      <c r="J116" s="32" t="s">
        <v>71</v>
      </c>
      <c r="K116" s="32" t="s">
        <v>254</v>
      </c>
      <c r="L116" s="32">
        <v>560</v>
      </c>
      <c r="M116" s="32">
        <v>530.39</v>
      </c>
      <c r="N116" s="32">
        <v>57.1</v>
      </c>
      <c r="O116" s="32">
        <v>160.09</v>
      </c>
      <c r="P116" s="32" t="s">
        <v>505</v>
      </c>
      <c r="Q116" s="32">
        <v>8.6779999999999996E-2</v>
      </c>
      <c r="R116" s="32">
        <v>500</v>
      </c>
      <c r="S116" s="32">
        <v>13.4</v>
      </c>
      <c r="T116" s="32">
        <v>94</v>
      </c>
      <c r="U116" s="32">
        <v>16943</v>
      </c>
      <c r="V116" s="32">
        <v>16943</v>
      </c>
      <c r="W116" s="32">
        <v>9.1</v>
      </c>
      <c r="X116" s="32">
        <v>29.4</v>
      </c>
      <c r="Y116" s="32">
        <v>14.8</v>
      </c>
      <c r="Z116" s="32">
        <v>14.8</v>
      </c>
      <c r="AA116" s="32">
        <v>0</v>
      </c>
      <c r="AB116" s="32">
        <v>0.4</v>
      </c>
      <c r="AC116" s="32" t="s">
        <v>506</v>
      </c>
      <c r="AD116" s="32">
        <v>3</v>
      </c>
      <c r="AE116" s="32">
        <v>0</v>
      </c>
    </row>
    <row r="117" spans="1:31" x14ac:dyDescent="0.45">
      <c r="A117" s="32" t="s">
        <v>491</v>
      </c>
      <c r="B117" s="32" t="s">
        <v>492</v>
      </c>
      <c r="C117" s="32" t="s">
        <v>285</v>
      </c>
      <c r="D117" s="32" t="s">
        <v>493</v>
      </c>
      <c r="E117" s="32" t="s">
        <v>257</v>
      </c>
      <c r="F117" s="32" t="s">
        <v>258</v>
      </c>
      <c r="G117" s="32" t="s">
        <v>206</v>
      </c>
      <c r="H117" s="32" t="s">
        <v>250</v>
      </c>
      <c r="I117" s="32" t="s">
        <v>243</v>
      </c>
      <c r="J117" s="32" t="s">
        <v>260</v>
      </c>
      <c r="K117" s="32" t="s">
        <v>251</v>
      </c>
      <c r="L117" s="32">
        <v>200</v>
      </c>
      <c r="M117" s="32">
        <v>428.83</v>
      </c>
      <c r="N117" s="32">
        <v>128.6</v>
      </c>
      <c r="O117" s="32">
        <v>271.43</v>
      </c>
      <c r="P117" s="32" t="s">
        <v>507</v>
      </c>
      <c r="Q117" s="32">
        <v>5.6466900000000004</v>
      </c>
      <c r="R117" s="32">
        <v>135</v>
      </c>
      <c r="S117" s="32">
        <v>69.2</v>
      </c>
      <c r="T117" s="32">
        <v>96</v>
      </c>
      <c r="U117" s="32">
        <v>6513</v>
      </c>
      <c r="V117" s="32">
        <v>6513</v>
      </c>
      <c r="W117" s="32">
        <v>15.8</v>
      </c>
      <c r="X117" s="32">
        <v>26.1</v>
      </c>
      <c r="Y117" s="32">
        <v>11.3</v>
      </c>
      <c r="Z117" s="32">
        <v>11.3</v>
      </c>
      <c r="AA117" s="32">
        <v>0</v>
      </c>
      <c r="AB117" s="32">
        <v>3.9</v>
      </c>
      <c r="AC117" s="32" t="s">
        <v>508</v>
      </c>
      <c r="AD117" s="32">
        <v>0</v>
      </c>
      <c r="AE117" s="32">
        <v>0</v>
      </c>
    </row>
    <row r="118" spans="1:31" x14ac:dyDescent="0.45">
      <c r="A118" s="32" t="s">
        <v>491</v>
      </c>
      <c r="B118" s="32" t="s">
        <v>492</v>
      </c>
      <c r="C118" s="32" t="s">
        <v>285</v>
      </c>
      <c r="D118" s="32" t="s">
        <v>493</v>
      </c>
      <c r="E118" s="32" t="s">
        <v>257</v>
      </c>
      <c r="F118" s="32" t="s">
        <v>258</v>
      </c>
      <c r="G118" s="32" t="s">
        <v>206</v>
      </c>
      <c r="H118" s="32" t="s">
        <v>250</v>
      </c>
      <c r="I118" s="32" t="s">
        <v>243</v>
      </c>
      <c r="J118" s="32" t="s">
        <v>260</v>
      </c>
      <c r="K118" s="32" t="s">
        <v>254</v>
      </c>
      <c r="L118" s="32">
        <v>160</v>
      </c>
      <c r="M118" s="32">
        <v>150.55000000000001</v>
      </c>
      <c r="N118" s="32">
        <v>56.5</v>
      </c>
      <c r="O118" s="32">
        <v>128.96</v>
      </c>
      <c r="P118" s="32" t="s">
        <v>509</v>
      </c>
      <c r="Q118" s="32">
        <v>1.4220200000000001</v>
      </c>
      <c r="R118" s="32">
        <v>135</v>
      </c>
      <c r="S118" s="32">
        <v>50.7</v>
      </c>
      <c r="T118" s="32">
        <v>97</v>
      </c>
      <c r="U118" s="32">
        <v>6513</v>
      </c>
      <c r="V118" s="32">
        <v>6513</v>
      </c>
      <c r="W118" s="32">
        <v>12.7</v>
      </c>
      <c r="X118" s="32">
        <v>25.8</v>
      </c>
      <c r="Y118" s="32">
        <v>11.3</v>
      </c>
      <c r="Z118" s="32">
        <v>11.3</v>
      </c>
      <c r="AA118" s="32">
        <v>0</v>
      </c>
      <c r="AB118" s="32">
        <v>3</v>
      </c>
      <c r="AC118" s="32" t="s">
        <v>510</v>
      </c>
      <c r="AD118" s="32">
        <v>0</v>
      </c>
      <c r="AE118" s="32">
        <v>0</v>
      </c>
    </row>
    <row r="119" spans="1:31" x14ac:dyDescent="0.45">
      <c r="A119" s="32" t="s">
        <v>491</v>
      </c>
      <c r="B119" s="32" t="s">
        <v>492</v>
      </c>
      <c r="C119" s="32" t="s">
        <v>285</v>
      </c>
      <c r="D119" s="32" t="s">
        <v>493</v>
      </c>
      <c r="E119" s="32" t="s">
        <v>257</v>
      </c>
      <c r="F119" s="32" t="s">
        <v>269</v>
      </c>
      <c r="G119" s="32" t="s">
        <v>206</v>
      </c>
      <c r="H119" s="32" t="s">
        <v>250</v>
      </c>
      <c r="I119" s="32" t="s">
        <v>243</v>
      </c>
      <c r="J119" s="32" t="s">
        <v>270</v>
      </c>
      <c r="K119" s="32" t="s">
        <v>251</v>
      </c>
      <c r="L119" s="32">
        <v>200</v>
      </c>
      <c r="M119" s="32">
        <v>428.8</v>
      </c>
      <c r="N119" s="32">
        <v>128.6</v>
      </c>
      <c r="O119" s="32">
        <v>268.54000000000002</v>
      </c>
      <c r="P119" s="32" t="s">
        <v>511</v>
      </c>
      <c r="Q119" s="32">
        <v>6.0835499999999998</v>
      </c>
      <c r="R119" s="32">
        <v>175</v>
      </c>
      <c r="S119" s="32">
        <v>51.4</v>
      </c>
      <c r="T119" s="32">
        <v>94</v>
      </c>
      <c r="U119" s="32">
        <v>6513</v>
      </c>
      <c r="V119" s="32">
        <v>6513</v>
      </c>
      <c r="W119" s="32">
        <v>13.8</v>
      </c>
      <c r="X119" s="32">
        <v>28.3</v>
      </c>
      <c r="Y119" s="32">
        <v>11.2</v>
      </c>
      <c r="Z119" s="32">
        <v>11.2</v>
      </c>
      <c r="AA119" s="32">
        <v>0</v>
      </c>
      <c r="AB119" s="32">
        <v>3.2</v>
      </c>
      <c r="AC119" s="32" t="s">
        <v>512</v>
      </c>
      <c r="AD119" s="32">
        <v>0</v>
      </c>
      <c r="AE119" s="32">
        <v>0</v>
      </c>
    </row>
    <row r="120" spans="1:31" x14ac:dyDescent="0.45">
      <c r="A120" s="32" t="s">
        <v>491</v>
      </c>
      <c r="B120" s="32" t="s">
        <v>492</v>
      </c>
      <c r="C120" s="32" t="s">
        <v>285</v>
      </c>
      <c r="D120" s="32" t="s">
        <v>493</v>
      </c>
      <c r="E120" s="32" t="s">
        <v>257</v>
      </c>
      <c r="F120" s="32" t="s">
        <v>269</v>
      </c>
      <c r="G120" s="32" t="s">
        <v>206</v>
      </c>
      <c r="H120" s="32" t="s">
        <v>250</v>
      </c>
      <c r="I120" s="32" t="s">
        <v>243</v>
      </c>
      <c r="J120" s="32" t="s">
        <v>273</v>
      </c>
      <c r="K120" s="32" t="s">
        <v>251</v>
      </c>
      <c r="L120" s="32">
        <v>400</v>
      </c>
      <c r="M120" s="32">
        <v>857.34</v>
      </c>
      <c r="N120" s="32">
        <v>128.6</v>
      </c>
      <c r="O120" s="32">
        <v>270.44</v>
      </c>
      <c r="P120" s="32" t="s">
        <v>513</v>
      </c>
      <c r="Q120" s="32">
        <v>1.1055600000000001</v>
      </c>
      <c r="R120" s="32">
        <v>200</v>
      </c>
      <c r="S120" s="32">
        <v>71.7</v>
      </c>
      <c r="T120" s="32">
        <v>93</v>
      </c>
      <c r="U120" s="32">
        <v>6513</v>
      </c>
      <c r="V120" s="32">
        <v>6513</v>
      </c>
      <c r="W120" s="32">
        <v>19</v>
      </c>
      <c r="X120" s="32">
        <v>26.2</v>
      </c>
      <c r="Y120" s="32">
        <v>11.4</v>
      </c>
      <c r="Z120" s="32">
        <v>11.5</v>
      </c>
      <c r="AA120" s="32">
        <v>0</v>
      </c>
      <c r="AB120" s="32">
        <v>2.7</v>
      </c>
      <c r="AC120" s="32" t="s">
        <v>514</v>
      </c>
      <c r="AD120" s="32">
        <v>0</v>
      </c>
      <c r="AE120" s="32">
        <v>0</v>
      </c>
    </row>
    <row r="121" spans="1:31" x14ac:dyDescent="0.45">
      <c r="A121" s="32" t="s">
        <v>491</v>
      </c>
      <c r="B121" s="32" t="s">
        <v>492</v>
      </c>
      <c r="C121" s="32" t="s">
        <v>285</v>
      </c>
      <c r="D121" s="32" t="s">
        <v>493</v>
      </c>
      <c r="E121" s="32" t="s">
        <v>257</v>
      </c>
      <c r="F121" s="32" t="s">
        <v>258</v>
      </c>
      <c r="G121" s="32" t="s">
        <v>259</v>
      </c>
      <c r="H121" s="32" t="s">
        <v>250</v>
      </c>
      <c r="I121" s="32" t="s">
        <v>243</v>
      </c>
      <c r="J121" s="32" t="s">
        <v>260</v>
      </c>
      <c r="K121" s="32" t="s">
        <v>251</v>
      </c>
      <c r="L121" s="32">
        <v>200</v>
      </c>
      <c r="M121" s="32">
        <v>428.83</v>
      </c>
      <c r="N121" s="32">
        <v>128.6</v>
      </c>
      <c r="O121" s="32">
        <v>276.73</v>
      </c>
      <c r="P121" s="32" t="s">
        <v>515</v>
      </c>
      <c r="Q121" s="32">
        <v>3.9344100000000002</v>
      </c>
      <c r="R121" s="32">
        <v>115</v>
      </c>
      <c r="S121" s="32">
        <v>0</v>
      </c>
      <c r="T121" s="32">
        <v>0</v>
      </c>
      <c r="U121" s="32">
        <v>1812</v>
      </c>
      <c r="V121" s="32">
        <v>1812</v>
      </c>
      <c r="W121" s="32">
        <v>29.9</v>
      </c>
      <c r="X121" s="32">
        <v>40.1</v>
      </c>
      <c r="Y121" s="32">
        <v>10.8</v>
      </c>
      <c r="Z121" s="32">
        <v>10.8</v>
      </c>
      <c r="AA121" s="32">
        <v>0</v>
      </c>
      <c r="AB121" s="32">
        <v>2.8</v>
      </c>
      <c r="AC121" s="32" t="s">
        <v>516</v>
      </c>
      <c r="AD121" s="32">
        <v>0</v>
      </c>
      <c r="AE121" s="32">
        <v>0</v>
      </c>
    </row>
    <row r="122" spans="1:31" x14ac:dyDescent="0.45">
      <c r="A122" s="32" t="s">
        <v>491</v>
      </c>
      <c r="B122" s="32" t="s">
        <v>492</v>
      </c>
      <c r="C122" s="32" t="s">
        <v>285</v>
      </c>
      <c r="D122" s="32" t="s">
        <v>493</v>
      </c>
      <c r="E122" s="32" t="s">
        <v>257</v>
      </c>
      <c r="F122" s="32" t="s">
        <v>258</v>
      </c>
      <c r="G122" s="32" t="s">
        <v>259</v>
      </c>
      <c r="H122" s="32" t="s">
        <v>250</v>
      </c>
      <c r="I122" s="32" t="s">
        <v>243</v>
      </c>
      <c r="J122" s="32" t="s">
        <v>260</v>
      </c>
      <c r="K122" s="32" t="s">
        <v>254</v>
      </c>
      <c r="L122" s="32">
        <v>160</v>
      </c>
      <c r="M122" s="32">
        <v>151.41999999999999</v>
      </c>
      <c r="N122" s="32">
        <v>56.8</v>
      </c>
      <c r="O122" s="32">
        <v>133.34</v>
      </c>
      <c r="P122" s="32" t="s">
        <v>517</v>
      </c>
      <c r="Q122" s="32">
        <v>1.9054</v>
      </c>
      <c r="R122" s="32">
        <v>120</v>
      </c>
      <c r="S122" s="32">
        <v>0</v>
      </c>
      <c r="T122" s="32">
        <v>0</v>
      </c>
      <c r="U122" s="32">
        <v>1812</v>
      </c>
      <c r="V122" s="32">
        <v>1812</v>
      </c>
      <c r="W122" s="32">
        <v>23.1</v>
      </c>
      <c r="X122" s="32">
        <v>41.2</v>
      </c>
      <c r="Y122" s="32">
        <v>10.8</v>
      </c>
      <c r="Z122" s="32">
        <v>10.8</v>
      </c>
      <c r="AA122" s="32">
        <v>0</v>
      </c>
      <c r="AB122" s="32">
        <v>2.6</v>
      </c>
      <c r="AC122" s="32" t="s">
        <v>518</v>
      </c>
      <c r="AD122" s="32">
        <v>0</v>
      </c>
      <c r="AE122" s="32">
        <v>0</v>
      </c>
    </row>
    <row r="123" spans="1:31" x14ac:dyDescent="0.45">
      <c r="A123" s="32" t="s">
        <v>491</v>
      </c>
      <c r="B123" s="32" t="s">
        <v>492</v>
      </c>
      <c r="C123" s="32" t="s">
        <v>285</v>
      </c>
      <c r="D123" s="32" t="s">
        <v>493</v>
      </c>
      <c r="E123" s="32" t="s">
        <v>257</v>
      </c>
      <c r="F123" s="32" t="s">
        <v>269</v>
      </c>
      <c r="G123" s="32" t="s">
        <v>259</v>
      </c>
      <c r="H123" s="32" t="s">
        <v>250</v>
      </c>
      <c r="I123" s="32" t="s">
        <v>243</v>
      </c>
      <c r="J123" s="32" t="s">
        <v>273</v>
      </c>
      <c r="K123" s="32" t="s">
        <v>251</v>
      </c>
      <c r="L123" s="32">
        <v>200</v>
      </c>
      <c r="M123" s="32">
        <v>428.83</v>
      </c>
      <c r="N123" s="32">
        <v>128.6</v>
      </c>
      <c r="O123" s="32">
        <v>268.3</v>
      </c>
      <c r="P123" s="32" t="s">
        <v>519</v>
      </c>
      <c r="Q123" s="32">
        <v>3.5054599999999998</v>
      </c>
      <c r="R123" s="32">
        <v>145</v>
      </c>
      <c r="S123" s="32">
        <v>0</v>
      </c>
      <c r="T123" s="32">
        <v>0</v>
      </c>
      <c r="U123" s="32">
        <v>1812</v>
      </c>
      <c r="V123" s="32">
        <v>1812</v>
      </c>
      <c r="W123" s="32">
        <v>25.3</v>
      </c>
      <c r="X123" s="32">
        <v>39.9</v>
      </c>
      <c r="Y123" s="32">
        <v>10.9</v>
      </c>
      <c r="Z123" s="32">
        <v>11</v>
      </c>
      <c r="AA123" s="32">
        <v>0</v>
      </c>
      <c r="AB123" s="32">
        <v>3.1</v>
      </c>
      <c r="AC123" s="32" t="s">
        <v>520</v>
      </c>
      <c r="AD123" s="32">
        <v>0</v>
      </c>
      <c r="AE123" s="32">
        <v>0</v>
      </c>
    </row>
    <row r="124" spans="1:31" x14ac:dyDescent="0.45">
      <c r="A124" s="32" t="s">
        <v>491</v>
      </c>
      <c r="B124" s="32" t="s">
        <v>492</v>
      </c>
      <c r="C124" s="32" t="s">
        <v>285</v>
      </c>
      <c r="D124" s="32" t="s">
        <v>493</v>
      </c>
      <c r="E124" s="32" t="s">
        <v>257</v>
      </c>
      <c r="F124" s="32" t="s">
        <v>269</v>
      </c>
      <c r="G124" s="32" t="s">
        <v>259</v>
      </c>
      <c r="H124" s="32" t="s">
        <v>250</v>
      </c>
      <c r="I124" s="32" t="s">
        <v>243</v>
      </c>
      <c r="J124" s="32" t="s">
        <v>273</v>
      </c>
      <c r="K124" s="32" t="s">
        <v>254</v>
      </c>
      <c r="L124" s="32">
        <v>160</v>
      </c>
      <c r="M124" s="32">
        <v>151.22999999999999</v>
      </c>
      <c r="N124" s="32">
        <v>56.7</v>
      </c>
      <c r="O124" s="32">
        <v>114.19</v>
      </c>
      <c r="P124" s="32" t="s">
        <v>521</v>
      </c>
      <c r="Q124" s="32">
        <v>2.2311700000000001</v>
      </c>
      <c r="R124" s="32">
        <v>155</v>
      </c>
      <c r="S124" s="32">
        <v>0</v>
      </c>
      <c r="T124" s="32">
        <v>0</v>
      </c>
      <c r="U124" s="32">
        <v>1812</v>
      </c>
      <c r="V124" s="32">
        <v>1812</v>
      </c>
      <c r="W124" s="32">
        <v>21.5</v>
      </c>
      <c r="X124" s="32">
        <v>39.9</v>
      </c>
      <c r="Y124" s="32">
        <v>10.9</v>
      </c>
      <c r="Z124" s="32">
        <v>11</v>
      </c>
      <c r="AA124" s="32">
        <v>0</v>
      </c>
      <c r="AB124" s="32">
        <v>2.7</v>
      </c>
      <c r="AC124" s="32" t="s">
        <v>522</v>
      </c>
      <c r="AD124" s="32">
        <v>0</v>
      </c>
      <c r="AE124" s="32">
        <v>0</v>
      </c>
    </row>
    <row r="125" spans="1:31" x14ac:dyDescent="0.45">
      <c r="A125" s="32" t="s">
        <v>491</v>
      </c>
      <c r="B125" s="32" t="s">
        <v>492</v>
      </c>
      <c r="C125" s="32" t="s">
        <v>285</v>
      </c>
      <c r="D125" s="32" t="s">
        <v>493</v>
      </c>
      <c r="E125" s="32" t="s">
        <v>257</v>
      </c>
      <c r="F125" s="32" t="s">
        <v>269</v>
      </c>
      <c r="G125" s="32" t="s">
        <v>259</v>
      </c>
      <c r="H125" s="32" t="s">
        <v>295</v>
      </c>
      <c r="I125" s="32" t="s">
        <v>243</v>
      </c>
      <c r="J125" s="32" t="s">
        <v>273</v>
      </c>
      <c r="K125" s="32" t="s">
        <v>244</v>
      </c>
      <c r="L125" s="32">
        <v>200</v>
      </c>
      <c r="M125" s="32">
        <v>428.83</v>
      </c>
      <c r="N125" s="32">
        <v>128.6</v>
      </c>
      <c r="O125" s="32">
        <v>392.35</v>
      </c>
      <c r="P125" s="32" t="s">
        <v>523</v>
      </c>
      <c r="Q125" s="32">
        <v>7.5322800000000001</v>
      </c>
      <c r="R125" s="32">
        <v>4</v>
      </c>
      <c r="S125" s="32">
        <v>0</v>
      </c>
      <c r="T125" s="32">
        <v>0</v>
      </c>
      <c r="U125" s="32">
        <v>1812</v>
      </c>
      <c r="V125" s="32">
        <v>1812</v>
      </c>
      <c r="W125" s="32">
        <v>17.5</v>
      </c>
      <c r="X125" s="32">
        <v>25</v>
      </c>
      <c r="Y125" s="32">
        <v>10.9</v>
      </c>
      <c r="Z125" s="32">
        <v>11</v>
      </c>
      <c r="AA125" s="32">
        <v>0</v>
      </c>
      <c r="AB125" s="32">
        <v>3.5</v>
      </c>
      <c r="AC125" s="32" t="s">
        <v>524</v>
      </c>
      <c r="AD125" s="32">
        <v>0</v>
      </c>
      <c r="AE125" s="32">
        <v>0</v>
      </c>
    </row>
  </sheetData>
  <autoFilter ref="A1:AE93" xr:uid="{00000000-0009-0000-0000-000002000000}"/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600"/>
  </sheetPr>
  <dimension ref="A1:J15"/>
  <sheetViews>
    <sheetView workbookViewId="0"/>
  </sheetViews>
  <sheetFormatPr defaultRowHeight="17" x14ac:dyDescent="0.45"/>
  <cols>
    <col min="1" max="1" width="26" customWidth="1"/>
    <col min="2" max="2" width="14" customWidth="1"/>
    <col min="3" max="3" width="16" customWidth="1"/>
    <col min="4" max="7" width="14" customWidth="1"/>
  </cols>
  <sheetData>
    <row r="1" spans="1:10" ht="51" x14ac:dyDescent="0.45">
      <c r="A1" s="3" t="s">
        <v>53</v>
      </c>
      <c r="B1" s="3" t="s">
        <v>525</v>
      </c>
      <c r="C1" s="26" t="s">
        <v>526</v>
      </c>
      <c r="D1" s="3" t="s">
        <v>527</v>
      </c>
      <c r="E1" s="3" t="s">
        <v>528</v>
      </c>
      <c r="F1" s="3" t="s">
        <v>529</v>
      </c>
      <c r="G1" s="3" t="s">
        <v>530</v>
      </c>
      <c r="H1" s="3" t="s">
        <v>531</v>
      </c>
      <c r="I1" s="3" t="s">
        <v>532</v>
      </c>
      <c r="J1" s="3" t="s">
        <v>533</v>
      </c>
    </row>
    <row r="2" spans="1:10" x14ac:dyDescent="0.45">
      <c r="A2" s="20" t="s">
        <v>79</v>
      </c>
      <c r="B2" s="21">
        <v>3</v>
      </c>
      <c r="C2" s="30" t="s">
        <v>71</v>
      </c>
      <c r="D2" s="21">
        <v>5</v>
      </c>
      <c r="E2" s="21">
        <v>5</v>
      </c>
      <c r="F2" s="21">
        <v>5</v>
      </c>
      <c r="G2" s="22">
        <v>7</v>
      </c>
      <c r="H2" s="32">
        <v>6</v>
      </c>
      <c r="I2" s="32">
        <v>9</v>
      </c>
      <c r="J2" s="21">
        <v>6</v>
      </c>
    </row>
    <row r="3" spans="1:10" x14ac:dyDescent="0.45">
      <c r="A3" s="20" t="s">
        <v>105</v>
      </c>
      <c r="B3" s="21">
        <v>210</v>
      </c>
      <c r="C3" s="31">
        <v>200</v>
      </c>
      <c r="D3" s="21">
        <v>240</v>
      </c>
      <c r="E3" s="21">
        <v>280</v>
      </c>
      <c r="F3" s="23">
        <v>50</v>
      </c>
      <c r="G3" s="21">
        <v>175</v>
      </c>
      <c r="H3" s="32">
        <v>265</v>
      </c>
      <c r="I3" s="32">
        <v>400</v>
      </c>
      <c r="J3" s="22">
        <v>500</v>
      </c>
    </row>
    <row r="4" spans="1:10" x14ac:dyDescent="0.45">
      <c r="A4" s="20" t="s">
        <v>115</v>
      </c>
      <c r="B4" s="21">
        <v>240</v>
      </c>
      <c r="C4" s="30" t="s">
        <v>71</v>
      </c>
      <c r="D4" s="21">
        <v>250</v>
      </c>
      <c r="E4" s="21">
        <v>320</v>
      </c>
      <c r="F4" s="23">
        <v>57</v>
      </c>
      <c r="G4" s="21">
        <v>185</v>
      </c>
      <c r="H4" s="32">
        <v>270</v>
      </c>
      <c r="I4" s="32">
        <v>500</v>
      </c>
      <c r="J4" s="22">
        <v>500</v>
      </c>
    </row>
    <row r="5" spans="1:10" x14ac:dyDescent="0.45">
      <c r="A5" s="20" t="s">
        <v>124</v>
      </c>
      <c r="B5" s="21">
        <v>75</v>
      </c>
      <c r="C5" s="31">
        <v>50</v>
      </c>
      <c r="D5" s="21">
        <v>95</v>
      </c>
      <c r="E5" s="21">
        <v>125</v>
      </c>
      <c r="F5" s="21">
        <v>115</v>
      </c>
      <c r="G5" s="21">
        <v>165</v>
      </c>
      <c r="H5" s="32">
        <v>120</v>
      </c>
      <c r="I5" s="32">
        <v>135</v>
      </c>
      <c r="J5" s="22">
        <v>200</v>
      </c>
    </row>
    <row r="6" spans="1:10" x14ac:dyDescent="0.45">
      <c r="A6" s="20" t="s">
        <v>134</v>
      </c>
      <c r="B6" s="21">
        <v>75</v>
      </c>
      <c r="C6" s="30" t="s">
        <v>71</v>
      </c>
      <c r="D6" s="21">
        <v>110</v>
      </c>
      <c r="E6" s="21">
        <v>120</v>
      </c>
      <c r="F6" s="21">
        <v>80</v>
      </c>
      <c r="G6" s="21">
        <v>165</v>
      </c>
      <c r="H6" s="32">
        <v>120</v>
      </c>
      <c r="I6" s="32">
        <v>135</v>
      </c>
      <c r="J6" s="22">
        <v>200</v>
      </c>
    </row>
    <row r="7" spans="1:10" x14ac:dyDescent="0.45">
      <c r="A7" s="20" t="s">
        <v>143</v>
      </c>
      <c r="B7" s="21">
        <v>90</v>
      </c>
      <c r="C7" s="30" t="s">
        <v>71</v>
      </c>
      <c r="D7" s="21">
        <v>135</v>
      </c>
      <c r="E7" s="21">
        <v>140</v>
      </c>
      <c r="F7" s="21">
        <v>165</v>
      </c>
      <c r="G7" s="21">
        <v>180</v>
      </c>
      <c r="H7" s="32">
        <v>145</v>
      </c>
      <c r="I7" s="32">
        <v>175</v>
      </c>
      <c r="J7" s="22">
        <v>260</v>
      </c>
    </row>
    <row r="8" spans="1:10" x14ac:dyDescent="0.45">
      <c r="A8" s="20" t="s">
        <v>152</v>
      </c>
      <c r="B8" s="21">
        <v>120</v>
      </c>
      <c r="C8" s="31">
        <v>80</v>
      </c>
      <c r="D8" s="21">
        <v>185</v>
      </c>
      <c r="E8" s="21">
        <v>195</v>
      </c>
      <c r="F8" s="21">
        <v>200</v>
      </c>
      <c r="G8" s="21">
        <v>200</v>
      </c>
      <c r="H8" s="32">
        <v>195</v>
      </c>
      <c r="I8" s="32">
        <v>200</v>
      </c>
      <c r="J8" s="22">
        <v>340</v>
      </c>
    </row>
    <row r="9" spans="1:10" x14ac:dyDescent="0.45">
      <c r="A9" s="20" t="s">
        <v>162</v>
      </c>
      <c r="B9" s="21">
        <v>33</v>
      </c>
      <c r="C9" s="30" t="s">
        <v>71</v>
      </c>
      <c r="D9" s="21">
        <v>58</v>
      </c>
      <c r="E9" s="21">
        <v>65</v>
      </c>
      <c r="F9" s="22">
        <v>95</v>
      </c>
      <c r="G9" s="21">
        <v>80</v>
      </c>
      <c r="H9" s="32">
        <v>65</v>
      </c>
      <c r="I9" s="32">
        <v>115</v>
      </c>
      <c r="J9" s="21">
        <v>70</v>
      </c>
    </row>
    <row r="10" spans="1:10" x14ac:dyDescent="0.45">
      <c r="A10" s="20" t="s">
        <v>171</v>
      </c>
      <c r="B10" s="21">
        <v>30</v>
      </c>
      <c r="C10" s="30" t="s">
        <v>71</v>
      </c>
      <c r="D10" s="21">
        <v>60</v>
      </c>
      <c r="E10" s="21">
        <v>65</v>
      </c>
      <c r="F10" s="22">
        <v>90</v>
      </c>
      <c r="G10" s="21">
        <v>80</v>
      </c>
      <c r="H10" s="32">
        <v>70</v>
      </c>
      <c r="I10" s="32">
        <v>120</v>
      </c>
      <c r="J10" s="21">
        <v>75</v>
      </c>
    </row>
    <row r="11" spans="1:10" x14ac:dyDescent="0.45">
      <c r="A11" s="20" t="s">
        <v>179</v>
      </c>
      <c r="B11" s="24" t="s">
        <v>71</v>
      </c>
      <c r="C11" s="30" t="s">
        <v>71</v>
      </c>
      <c r="D11" s="21">
        <v>72</v>
      </c>
      <c r="E11" s="21">
        <v>85</v>
      </c>
      <c r="F11" s="22">
        <v>125</v>
      </c>
      <c r="G11" s="21">
        <v>105</v>
      </c>
      <c r="H11" s="32">
        <v>85</v>
      </c>
      <c r="I11" s="32">
        <v>145</v>
      </c>
      <c r="J11" s="21">
        <v>95</v>
      </c>
    </row>
    <row r="12" spans="1:10" x14ac:dyDescent="0.45">
      <c r="A12" s="20" t="s">
        <v>187</v>
      </c>
      <c r="B12" s="24" t="s">
        <v>71</v>
      </c>
      <c r="C12" s="30" t="s">
        <v>71</v>
      </c>
      <c r="D12" s="21">
        <v>75</v>
      </c>
      <c r="E12" s="21">
        <v>85</v>
      </c>
      <c r="F12" s="21">
        <v>75</v>
      </c>
      <c r="G12" s="22">
        <v>105</v>
      </c>
      <c r="H12" s="32">
        <v>85</v>
      </c>
      <c r="I12" s="32">
        <v>155</v>
      </c>
      <c r="J12" s="21">
        <v>100</v>
      </c>
    </row>
    <row r="14" spans="1:10" x14ac:dyDescent="0.45">
      <c r="A14" s="25" t="s">
        <v>534</v>
      </c>
    </row>
    <row r="15" spans="1:10" x14ac:dyDescent="0.45">
      <c r="A15" s="39" t="s">
        <v>535</v>
      </c>
      <c r="B15" s="40"/>
      <c r="C15" s="40"/>
      <c r="D15" s="40"/>
      <c r="E15" s="40"/>
      <c r="F15" s="40"/>
      <c r="G15" s="40"/>
    </row>
  </sheetData>
  <mergeCells count="1">
    <mergeCell ref="A15:G15"/>
  </mergeCells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B4513"/>
  </sheetPr>
  <dimension ref="A1:Q23"/>
  <sheetViews>
    <sheetView workbookViewId="0"/>
  </sheetViews>
  <sheetFormatPr defaultRowHeight="17" x14ac:dyDescent="0.45"/>
  <cols>
    <col min="1" max="1" width="14" customWidth="1"/>
    <col min="2" max="2" width="7" customWidth="1"/>
    <col min="3" max="3" width="10" customWidth="1"/>
    <col min="4" max="4" width="5" customWidth="1"/>
    <col min="5" max="5" width="7" customWidth="1"/>
    <col min="6" max="6" width="28" customWidth="1"/>
    <col min="7" max="7" width="6" customWidth="1"/>
    <col min="8" max="8" width="10" customWidth="1"/>
    <col min="9" max="9" width="7" customWidth="1"/>
    <col min="10" max="10" width="11" customWidth="1"/>
    <col min="11" max="11" width="14" customWidth="1"/>
    <col min="12" max="12" width="10" customWidth="1"/>
    <col min="13" max="13" width="5" customWidth="1"/>
    <col min="14" max="14" width="22" customWidth="1"/>
    <col min="15" max="17" width="12" customWidth="1"/>
  </cols>
  <sheetData>
    <row r="1" spans="1:1" x14ac:dyDescent="0.45">
      <c r="A1" s="1" t="s">
        <v>536</v>
      </c>
    </row>
    <row r="2" spans="1:1" x14ac:dyDescent="0.45">
      <c r="A2" s="1"/>
    </row>
    <row r="3" spans="1:1" x14ac:dyDescent="0.45">
      <c r="A3" s="28" t="s">
        <v>537</v>
      </c>
    </row>
    <row r="4" spans="1:1" x14ac:dyDescent="0.45">
      <c r="A4" s="1" t="s">
        <v>538</v>
      </c>
    </row>
    <row r="5" spans="1:1" x14ac:dyDescent="0.45">
      <c r="A5" s="1" t="s">
        <v>539</v>
      </c>
    </row>
    <row r="6" spans="1:1" x14ac:dyDescent="0.45">
      <c r="A6" s="28" t="s">
        <v>540</v>
      </c>
    </row>
    <row r="7" spans="1:1" x14ac:dyDescent="0.45">
      <c r="A7" s="1"/>
    </row>
    <row r="8" spans="1:1" x14ac:dyDescent="0.45">
      <c r="A8" s="28" t="s">
        <v>541</v>
      </c>
    </row>
    <row r="9" spans="1:1" x14ac:dyDescent="0.45">
      <c r="A9" s="1"/>
    </row>
    <row r="10" spans="1:1" x14ac:dyDescent="0.45">
      <c r="A10" s="28" t="s">
        <v>542</v>
      </c>
    </row>
    <row r="11" spans="1:1" x14ac:dyDescent="0.45">
      <c r="A11" s="1" t="s">
        <v>543</v>
      </c>
    </row>
    <row r="12" spans="1:1" x14ac:dyDescent="0.45">
      <c r="A12" s="1" t="s">
        <v>544</v>
      </c>
    </row>
    <row r="13" spans="1:1" x14ac:dyDescent="0.45">
      <c r="A13" s="1" t="s">
        <v>545</v>
      </c>
    </row>
    <row r="14" spans="1:1" x14ac:dyDescent="0.45">
      <c r="A14" s="1" t="s">
        <v>546</v>
      </c>
    </row>
    <row r="15" spans="1:1" x14ac:dyDescent="0.45">
      <c r="A15" s="1"/>
    </row>
    <row r="16" spans="1:1" x14ac:dyDescent="0.45">
      <c r="A16" s="1" t="s">
        <v>547</v>
      </c>
    </row>
    <row r="17" spans="1:17" x14ac:dyDescent="0.45">
      <c r="A17" s="1" t="s">
        <v>548</v>
      </c>
    </row>
    <row r="18" spans="1:17" ht="34" x14ac:dyDescent="0.45">
      <c r="A18" s="26" t="s">
        <v>209</v>
      </c>
      <c r="B18" s="26" t="s">
        <v>211</v>
      </c>
      <c r="C18" s="26" t="s">
        <v>212</v>
      </c>
      <c r="D18" s="26" t="s">
        <v>213</v>
      </c>
      <c r="E18" s="26" t="s">
        <v>549</v>
      </c>
      <c r="F18" s="26" t="s">
        <v>215</v>
      </c>
      <c r="G18" s="26" t="s">
        <v>216</v>
      </c>
      <c r="H18" s="26" t="s">
        <v>550</v>
      </c>
      <c r="I18" s="26" t="s">
        <v>551</v>
      </c>
      <c r="J18" s="26" t="s">
        <v>552</v>
      </c>
      <c r="K18" s="26" t="s">
        <v>220</v>
      </c>
      <c r="L18" s="26" t="s">
        <v>553</v>
      </c>
      <c r="M18" s="26" t="s">
        <v>222</v>
      </c>
      <c r="N18" s="26" t="s">
        <v>554</v>
      </c>
      <c r="O18" s="26" t="s">
        <v>555</v>
      </c>
      <c r="P18" s="26" t="s">
        <v>556</v>
      </c>
      <c r="Q18" s="26" t="s">
        <v>557</v>
      </c>
    </row>
    <row r="19" spans="1:17" x14ac:dyDescent="0.45">
      <c r="A19" s="29" t="s">
        <v>240</v>
      </c>
      <c r="B19" s="27" t="s">
        <v>206</v>
      </c>
      <c r="C19" s="27" t="s">
        <v>242</v>
      </c>
      <c r="D19" s="27" t="s">
        <v>243</v>
      </c>
      <c r="E19" s="27" t="s">
        <v>71</v>
      </c>
      <c r="F19" s="27" t="s">
        <v>244</v>
      </c>
      <c r="G19" s="27">
        <v>200</v>
      </c>
      <c r="H19" s="27">
        <v>430.4</v>
      </c>
      <c r="I19" s="27">
        <v>129.1</v>
      </c>
      <c r="J19" s="27">
        <v>84.29</v>
      </c>
      <c r="K19" s="27" t="s">
        <v>97</v>
      </c>
      <c r="L19" s="27">
        <v>1.51311</v>
      </c>
      <c r="M19" s="27">
        <v>4</v>
      </c>
      <c r="N19" s="27" t="s">
        <v>558</v>
      </c>
      <c r="O19" s="27">
        <v>100</v>
      </c>
      <c r="P19" s="27">
        <v>100</v>
      </c>
      <c r="Q19" s="27">
        <v>40.299999999999997</v>
      </c>
    </row>
    <row r="20" spans="1:17" x14ac:dyDescent="0.45">
      <c r="A20" s="29" t="s">
        <v>240</v>
      </c>
      <c r="B20" s="27" t="s">
        <v>206</v>
      </c>
      <c r="C20" s="27" t="s">
        <v>250</v>
      </c>
      <c r="D20" s="27" t="s">
        <v>243</v>
      </c>
      <c r="E20" s="27" t="s">
        <v>71</v>
      </c>
      <c r="F20" s="27" t="s">
        <v>251</v>
      </c>
      <c r="G20" s="27">
        <v>200</v>
      </c>
      <c r="H20" s="27">
        <v>429.58</v>
      </c>
      <c r="I20" s="27">
        <v>128.9</v>
      </c>
      <c r="J20" s="27">
        <v>145.32</v>
      </c>
      <c r="K20" s="27" t="s">
        <v>559</v>
      </c>
      <c r="L20" s="27">
        <v>0.32047999999999999</v>
      </c>
      <c r="M20" s="27">
        <v>200</v>
      </c>
      <c r="N20" s="27" t="s">
        <v>560</v>
      </c>
      <c r="O20" s="27">
        <v>100</v>
      </c>
      <c r="P20" s="27">
        <v>100</v>
      </c>
      <c r="Q20" s="27">
        <v>40.299999999999997</v>
      </c>
    </row>
    <row r="21" spans="1:17" x14ac:dyDescent="0.45">
      <c r="A21" s="29" t="s">
        <v>257</v>
      </c>
      <c r="B21" s="27" t="s">
        <v>206</v>
      </c>
      <c r="C21" s="27" t="s">
        <v>250</v>
      </c>
      <c r="D21" s="27" t="s">
        <v>243</v>
      </c>
      <c r="E21" s="27" t="s">
        <v>273</v>
      </c>
      <c r="F21" s="27" t="s">
        <v>251</v>
      </c>
      <c r="G21" s="27">
        <v>200</v>
      </c>
      <c r="H21" s="27">
        <v>428.83</v>
      </c>
      <c r="I21" s="27">
        <v>128.6</v>
      </c>
      <c r="J21" s="27">
        <v>434.33</v>
      </c>
      <c r="K21" s="27" t="s">
        <v>561</v>
      </c>
      <c r="L21" s="27">
        <v>1.1746000000000001</v>
      </c>
      <c r="M21" s="27">
        <v>80</v>
      </c>
      <c r="N21" s="27" t="s">
        <v>562</v>
      </c>
      <c r="O21" s="27">
        <v>100</v>
      </c>
      <c r="P21" s="27">
        <v>100</v>
      </c>
      <c r="Q21" s="27">
        <v>40.299999999999997</v>
      </c>
    </row>
    <row r="22" spans="1:17" x14ac:dyDescent="0.45">
      <c r="A22" s="29" t="s">
        <v>257</v>
      </c>
      <c r="B22" s="27" t="s">
        <v>206</v>
      </c>
      <c r="C22" s="27" t="s">
        <v>295</v>
      </c>
      <c r="D22" s="27" t="s">
        <v>243</v>
      </c>
      <c r="E22" s="27" t="s">
        <v>273</v>
      </c>
      <c r="F22" s="27" t="s">
        <v>244</v>
      </c>
      <c r="G22" s="27">
        <v>200</v>
      </c>
      <c r="H22" s="27">
        <v>428.83</v>
      </c>
      <c r="I22" s="27">
        <v>128.6</v>
      </c>
      <c r="J22" s="27">
        <v>403.51</v>
      </c>
      <c r="K22" s="27" t="s">
        <v>94</v>
      </c>
      <c r="L22" s="27">
        <v>7.8736800000000002</v>
      </c>
      <c r="M22" s="27">
        <v>4</v>
      </c>
      <c r="N22" s="27" t="s">
        <v>563</v>
      </c>
      <c r="O22" s="27">
        <v>100</v>
      </c>
      <c r="P22" s="27">
        <v>100</v>
      </c>
      <c r="Q22" s="27">
        <v>40.299999999999997</v>
      </c>
    </row>
    <row r="23" spans="1:17" x14ac:dyDescent="0.45">
      <c r="A23" s="29" t="s">
        <v>257</v>
      </c>
      <c r="B23" s="27" t="s">
        <v>206</v>
      </c>
      <c r="C23" s="27" t="s">
        <v>250</v>
      </c>
      <c r="D23" s="27" t="s">
        <v>243</v>
      </c>
      <c r="E23" s="27" t="s">
        <v>260</v>
      </c>
      <c r="F23" s="27" t="s">
        <v>251</v>
      </c>
      <c r="G23" s="27">
        <v>50</v>
      </c>
      <c r="H23" s="27">
        <v>107.73</v>
      </c>
      <c r="I23" s="27">
        <v>129.30000000000001</v>
      </c>
      <c r="J23" s="27">
        <v>148.87</v>
      </c>
      <c r="K23" s="27" t="s">
        <v>564</v>
      </c>
      <c r="L23" s="27">
        <v>4.3883400000000004</v>
      </c>
      <c r="M23" s="27">
        <v>50</v>
      </c>
      <c r="N23" s="27" t="s">
        <v>565</v>
      </c>
      <c r="O23" s="27"/>
      <c r="P23" s="27"/>
      <c r="Q23" s="27"/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개요</vt:lpstr>
      <vt:lpstr>비교 요약</vt:lpstr>
      <vt:lpstr>상세 데이터</vt:lpstr>
      <vt:lpstr>online 채널 비교</vt:lpstr>
      <vt:lpstr>원격 분리 배치 (T4 4vC)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edward lee</cp:lastModifiedBy>
  <cp:revision/>
  <dcterms:created xsi:type="dcterms:W3CDTF">2026-03-31T01:36:58Z</dcterms:created>
  <dcterms:modified xsi:type="dcterms:W3CDTF">2026-08-18T14:17:45Z</dcterms:modified>
  <cp:category/>
  <cp:contentStatus/>
</cp:coreProperties>
</file>