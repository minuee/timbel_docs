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배포 체크리스트" sheetId="1" state="visible" r:id="rId3"/>
    <sheet name="2.사전 준비(D-1)" sheetId="2" state="visible" r:id="rId4"/>
    <sheet name="3.롤백 절차" sheetId="3" state="visible" r:id="rId5"/>
    <sheet name="4.배포 후 검증(QA)" sheetId="4" state="visible" r:id="rId6"/>
    <sheet name="5.서비스 목록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<sst xmlns="http://schemas.openxmlformats.org/spreadsheetml/2006/main" count="606" uniqueCount="387">
  <si>
    <r>
      <rPr>
        <b val="true"/>
        <sz val="15"/>
        <color rgb="FF21295C"/>
        <rFont val="맑은 고딕"/>
        <family val="0"/>
        <charset val="1"/>
      </rPr>
      <t xml:space="preserve">SK</t>
    </r>
    <r>
      <rPr>
        <b val="true"/>
        <sz val="15"/>
        <color rgb="FF21295C"/>
        <rFont val="Noto Sans CJK SC"/>
        <family val="2"/>
      </rPr>
      <t xml:space="preserve">하이닉스 </t>
    </r>
    <r>
      <rPr>
        <b val="true"/>
        <sz val="15"/>
        <color rgb="FF21295C"/>
        <rFont val="맑은 고딕"/>
        <family val="0"/>
        <charset val="1"/>
      </rPr>
      <t xml:space="preserve">AI </t>
    </r>
    <r>
      <rPr>
        <b val="true"/>
        <sz val="15"/>
        <color rgb="FF21295C"/>
        <rFont val="Noto Sans CJK SC"/>
        <family val="2"/>
      </rPr>
      <t xml:space="preserve">회의록 </t>
    </r>
    <r>
      <rPr>
        <b val="true"/>
        <sz val="15"/>
        <color rgb="FF21295C"/>
        <rFont val="맑은 고딕"/>
        <family val="0"/>
        <charset val="1"/>
      </rPr>
      <t xml:space="preserve">- 2</t>
    </r>
    <r>
      <rPr>
        <b val="true"/>
        <sz val="15"/>
        <color rgb="FF21295C"/>
        <rFont val="Noto Sans CJK SC"/>
        <family val="2"/>
      </rPr>
      <t xml:space="preserve">차 운영 배포 체크리스트</t>
    </r>
  </si>
  <si>
    <r>
      <rPr>
        <sz val="9"/>
        <color rgb="FF6B7785"/>
        <rFont val="Noto Sans CJK SC"/>
        <family val="2"/>
      </rPr>
      <t xml:space="preserve">배포 예정일 </t>
    </r>
    <r>
      <rPr>
        <sz val="9"/>
        <color rgb="FF6B7785"/>
        <rFont val="맑은 고딕"/>
        <family val="0"/>
        <charset val="1"/>
      </rPr>
      <t xml:space="preserve">2026-10-30 (</t>
    </r>
    <r>
      <rPr>
        <sz val="9"/>
        <color rgb="FF6B7785"/>
        <rFont val="Noto Sans CJK SC"/>
        <family val="2"/>
      </rPr>
      <t xml:space="preserve">고객사 일정 확정 대기</t>
    </r>
    <r>
      <rPr>
        <sz val="9"/>
        <color rgb="FF6B7785"/>
        <rFont val="맑은 고딕"/>
        <family val="0"/>
        <charset val="1"/>
      </rPr>
      <t xml:space="preserve">)    |    </t>
    </r>
    <r>
      <rPr>
        <sz val="9"/>
        <color rgb="FF6B7785"/>
        <rFont val="Noto Sans CJK SC"/>
        <family val="2"/>
      </rPr>
      <t xml:space="preserve">작성 </t>
    </r>
    <r>
      <rPr>
        <sz val="9"/>
        <color rgb="FF6B7785"/>
        <rFont val="맑은 고딕"/>
        <family val="0"/>
        <charset val="1"/>
      </rPr>
      <t xml:space="preserve">: </t>
    </r>
    <r>
      <rPr>
        <sz val="9"/>
        <color rgb="FF6B7785"/>
        <rFont val="Noto Sans CJK SC"/>
        <family val="2"/>
      </rPr>
      <t xml:space="preserve">팀벨 노성남 수석    </t>
    </r>
    <r>
      <rPr>
        <sz val="9"/>
        <color rgb="FF6B7785"/>
        <rFont val="맑은 고딕"/>
        <family val="0"/>
        <charset val="1"/>
      </rPr>
      <t xml:space="preserve">|    </t>
    </r>
    <r>
      <rPr>
        <sz val="9"/>
        <color rgb="FF6B7785"/>
        <rFont val="Noto Sans CJK SC"/>
        <family val="2"/>
      </rPr>
      <t xml:space="preserve">노란색 셀만 입력하시면 예정 시각이 자동으로 계산됩니다</t>
    </r>
    <r>
      <rPr>
        <sz val="9"/>
        <color rgb="FF6B7785"/>
        <rFont val="맑은 고딕"/>
        <family val="0"/>
        <charset val="1"/>
      </rPr>
      <t xml:space="preserve">.</t>
    </r>
  </si>
  <si>
    <r>
      <rPr>
        <b val="true"/>
        <sz val="10"/>
        <color rgb="FF065A82"/>
        <rFont val="Noto Sans CJK SC"/>
        <family val="2"/>
      </rPr>
      <t xml:space="preserve">고객사 </t>
    </r>
    <r>
      <rPr>
        <b val="true"/>
        <sz val="10"/>
        <color rgb="FF065A82"/>
        <rFont val="맑은 고딕"/>
        <family val="0"/>
        <charset val="1"/>
      </rPr>
      <t xml:space="preserve">/ </t>
    </r>
    <r>
      <rPr>
        <b val="true"/>
        <sz val="10"/>
        <color rgb="FF065A82"/>
        <rFont val="Noto Sans CJK SC"/>
        <family val="2"/>
      </rPr>
      <t xml:space="preserve">서비스명</t>
    </r>
  </si>
  <si>
    <r>
      <rPr>
        <sz val="10"/>
        <color rgb="FF44506B"/>
        <rFont val="맑은 고딕"/>
        <family val="0"/>
        <charset val="1"/>
      </rPr>
      <t xml:space="preserve">SK</t>
    </r>
    <r>
      <rPr>
        <sz val="10"/>
        <color rgb="FF44506B"/>
        <rFont val="Noto Sans CJK SC"/>
        <family val="2"/>
      </rPr>
      <t xml:space="preserve">하이닉스   </t>
    </r>
    <r>
      <rPr>
        <sz val="10"/>
        <color rgb="FF44506B"/>
        <rFont val="맑은 고딕"/>
        <family val="0"/>
        <charset val="1"/>
      </rPr>
      <t xml:space="preserve">|   AI </t>
    </r>
    <r>
      <rPr>
        <sz val="10"/>
        <color rgb="FF44506B"/>
        <rFont val="Noto Sans CJK SC"/>
        <family val="2"/>
      </rPr>
      <t xml:space="preserve">회의록</t>
    </r>
  </si>
  <si>
    <r>
      <rPr>
        <sz val="10"/>
        <color rgb="FF44506B"/>
        <rFont val="맑은 고딕"/>
        <family val="0"/>
        <charset val="1"/>
      </rPr>
      <t xml:space="preserve">2</t>
    </r>
    <r>
      <rPr>
        <sz val="10"/>
        <color rgb="FF44506B"/>
        <rFont val="Noto Sans CJK SC"/>
        <family val="2"/>
      </rPr>
      <t xml:space="preserve">차 개발분 반영 </t>
    </r>
    <r>
      <rPr>
        <sz val="10"/>
        <color rgb="FF44506B"/>
        <rFont val="맑은 고딕"/>
        <family val="0"/>
        <charset val="1"/>
      </rPr>
      <t xml:space="preserve">(</t>
    </r>
    <r>
      <rPr>
        <sz val="10"/>
        <color rgb="FF44506B"/>
        <rFont val="Noto Sans CJK SC"/>
        <family val="2"/>
      </rPr>
      <t xml:space="preserve">키워드 부스팅 </t>
    </r>
    <r>
      <rPr>
        <sz val="10"/>
        <color rgb="FF44506B"/>
        <rFont val="맑은 고딕"/>
        <family val="0"/>
        <charset val="1"/>
      </rPr>
      <t xml:space="preserve">· </t>
    </r>
    <r>
      <rPr>
        <sz val="10"/>
        <color rgb="FF44506B"/>
        <rFont val="Noto Sans CJK SC"/>
        <family val="2"/>
      </rPr>
      <t xml:space="preserve">다국어 번역 </t>
    </r>
    <r>
      <rPr>
        <sz val="10"/>
        <color rgb="FF44506B"/>
        <rFont val="맑은 고딕"/>
        <family val="0"/>
        <charset val="1"/>
      </rPr>
      <t xml:space="preserve">· </t>
    </r>
    <r>
      <rPr>
        <sz val="10"/>
        <color rgb="FF44506B"/>
        <rFont val="Noto Sans CJK SC"/>
        <family val="2"/>
      </rPr>
      <t xml:space="preserve">모바일 동기화 </t>
    </r>
    <r>
      <rPr>
        <sz val="10"/>
        <color rgb="FF44506B"/>
        <rFont val="맑은 고딕"/>
        <family val="0"/>
        <charset val="1"/>
      </rPr>
      <t xml:space="preserve">· </t>
    </r>
    <r>
      <rPr>
        <sz val="10"/>
        <color rgb="FF44506B"/>
        <rFont val="Noto Sans CJK SC"/>
        <family val="2"/>
      </rPr>
      <t xml:space="preserve">기타 개선</t>
    </r>
    <r>
      <rPr>
        <sz val="10"/>
        <color rgb="FF44506B"/>
        <rFont val="맑은 고딕"/>
        <family val="0"/>
        <charset val="1"/>
      </rPr>
      <t xml:space="preserve">)</t>
    </r>
  </si>
  <si>
    <t xml:space="preserve">작업 시작 시각</t>
  </si>
  <si>
    <r>
      <rPr>
        <sz val="10"/>
        <color rgb="FF44506B"/>
        <rFont val="Noto Sans CJK SC"/>
        <family val="2"/>
      </rPr>
      <t xml:space="preserve">※ 이 시각을 변경하면 전체 단계의 예정 시각이 자동으로 재계산됩니다</t>
    </r>
    <r>
      <rPr>
        <sz val="10"/>
        <color rgb="FF44506B"/>
        <rFont val="맑은 고딕"/>
        <family val="0"/>
        <charset val="1"/>
      </rPr>
      <t xml:space="preserve">. (</t>
    </r>
    <r>
      <rPr>
        <sz val="10"/>
        <color rgb="FF44506B"/>
        <rFont val="Noto Sans CJK SC"/>
        <family val="2"/>
      </rPr>
      <t xml:space="preserve">총 </t>
    </r>
    <r>
      <rPr>
        <sz val="10"/>
        <color rgb="FF44506B"/>
        <rFont val="맑은 고딕"/>
        <family val="0"/>
        <charset val="1"/>
      </rPr>
      <t xml:space="preserve">2</t>
    </r>
    <r>
      <rPr>
        <sz val="10"/>
        <color rgb="FF44506B"/>
        <rFont val="Noto Sans CJK SC"/>
        <family val="2"/>
      </rPr>
      <t xml:space="preserve">시간</t>
    </r>
    <r>
      <rPr>
        <sz val="10"/>
        <color rgb="FF44506B"/>
        <rFont val="맑은 고딕"/>
        <family val="0"/>
        <charset val="1"/>
      </rPr>
      <t xml:space="preserve">)</t>
    </r>
  </si>
  <si>
    <t xml:space="preserve">No</t>
  </si>
  <si>
    <r>
      <rPr>
        <b val="true"/>
        <sz val="10"/>
        <color rgb="FFFFFFFF"/>
        <rFont val="Noto Sans CJK SC"/>
        <family val="2"/>
      </rPr>
      <t xml:space="preserve">단계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대분류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</si>
  <si>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세부 작업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소분류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</si>
  <si>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상세 내용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확인 사항</t>
    </r>
  </si>
  <si>
    <t xml:space="preserve">담당</t>
  </si>
  <si>
    <t xml:space="preserve">예정 시작</t>
  </si>
  <si>
    <r>
      <rPr>
        <b val="true"/>
        <sz val="10"/>
        <color rgb="FFFFFFFF"/>
        <rFont val="Noto Sans CJK SC"/>
        <family val="2"/>
      </rPr>
      <t xml:space="preserve">소요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</si>
  <si>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예정 종료</t>
  </si>
  <si>
    <t xml:space="preserve">선행 조건</t>
  </si>
  <si>
    <t xml:space="preserve">완료</t>
  </si>
  <si>
    <t xml:space="preserve">실제 완료 시각</t>
  </si>
  <si>
    <r>
      <rPr>
        <b val="true"/>
        <sz val="10"/>
        <color rgb="FFFFFFFF"/>
        <rFont val="Noto Sans CJK SC"/>
        <family val="2"/>
      </rPr>
      <t xml:space="preserve">비고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이슈</t>
    </r>
  </si>
  <si>
    <t xml:space="preserve">1-1</t>
  </si>
  <si>
    <r>
      <rPr>
        <b val="true"/>
        <sz val="10"/>
        <color rgb="FFFFFFFF"/>
        <rFont val="맑은 고딕"/>
        <family val="0"/>
        <charset val="1"/>
      </rPr>
      <t xml:space="preserve">1. </t>
    </r>
    <r>
      <rPr>
        <b val="true"/>
        <sz val="10"/>
        <color rgb="FFFFFFFF"/>
        <rFont val="Noto Sans CJK SC"/>
        <family val="2"/>
      </rPr>
      <t xml:space="preserve">서비스 중지</t>
    </r>
  </si>
  <si>
    <t xml:space="preserve">점검 안내 페이지 전환</t>
  </si>
  <si>
    <r>
      <rPr>
        <sz val="9.5"/>
        <rFont val="Noto Sans CJK SC"/>
        <family val="2"/>
      </rPr>
      <t xml:space="preserve">웹 접속 시 점검 안내 페이지가 노출되도록 전환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미적용 시 본 항목 제외</t>
    </r>
    <r>
      <rPr>
        <sz val="9.5"/>
        <rFont val="맑은 고딕"/>
        <family val="0"/>
        <charset val="1"/>
      </rPr>
      <t xml:space="preserve">)</t>
    </r>
  </si>
  <si>
    <t xml:space="preserve">서버</t>
  </si>
  <si>
    <t xml:space="preserve">-</t>
  </si>
  <si>
    <t xml:space="preserve">1-2</t>
  </si>
  <si>
    <r>
      <rPr>
        <b val="true"/>
        <sz val="9.5"/>
        <rFont val="맑은 고딕"/>
        <family val="0"/>
        <charset val="1"/>
      </rPr>
      <t xml:space="preserve">API </t>
    </r>
    <r>
      <rPr>
        <b val="true"/>
        <sz val="9.5"/>
        <rFont val="Noto Sans CJK SC"/>
        <family val="2"/>
      </rPr>
      <t xml:space="preserve">트래픽 차단</t>
    </r>
  </si>
  <si>
    <r>
      <rPr>
        <sz val="9.5"/>
        <rFont val="Noto Sans CJK SC"/>
        <family val="2"/>
      </rPr>
      <t xml:space="preserve">게이트웨이에서 외부 </t>
    </r>
    <r>
      <rPr>
        <sz val="9.5"/>
        <rFont val="맑은 고딕"/>
        <family val="0"/>
        <charset val="1"/>
      </rPr>
      <t xml:space="preserve">API </t>
    </r>
    <r>
      <rPr>
        <sz val="9.5"/>
        <rFont val="Noto Sans CJK SC"/>
        <family val="2"/>
      </rPr>
      <t xml:space="preserve">트래픽 차단 — 마이그레이션 중 </t>
    </r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쓰기 방지 목적</t>
    </r>
  </si>
  <si>
    <t xml:space="preserve">1-3</t>
  </si>
  <si>
    <r>
      <rPr>
        <b val="true"/>
        <sz val="9.5"/>
        <rFont val="맑은 고딕"/>
        <family val="0"/>
        <charset val="1"/>
      </rPr>
      <t xml:space="preserve">STT · LLM </t>
    </r>
    <r>
      <rPr>
        <b val="true"/>
        <sz val="9.5"/>
        <rFont val="Noto Sans CJK SC"/>
        <family val="2"/>
      </rPr>
      <t xml:space="preserve">큐 워커 완료 확인</t>
    </r>
  </si>
  <si>
    <r>
      <rPr>
        <sz val="9.5"/>
        <rFont val="Noto Sans CJK SC"/>
        <family val="2"/>
      </rPr>
      <t xml:space="preserve">진행 중인 전사</t>
    </r>
    <r>
      <rPr>
        <sz val="9.5"/>
        <rFont val="맑은 고딕"/>
        <family val="0"/>
        <charset val="1"/>
      </rPr>
      <t xml:space="preserve">(STT) </t>
    </r>
    <r>
      <rPr>
        <sz val="9.5"/>
        <rFont val="Noto Sans CJK SC"/>
        <family val="2"/>
      </rPr>
      <t xml:space="preserve">및 요약</t>
    </r>
    <r>
      <rPr>
        <sz val="9.5"/>
        <rFont val="맑은 고딕"/>
        <family val="0"/>
        <charset val="1"/>
      </rPr>
      <t xml:space="preserve">(LLM) </t>
    </r>
    <r>
      <rPr>
        <sz val="9.5"/>
        <rFont val="Noto Sans CJK SC"/>
        <family val="2"/>
      </rPr>
      <t xml:space="preserve">작업이 모두 완료되었는지 확인 후 워커 중지</t>
    </r>
  </si>
  <si>
    <t xml:space="preserve">1-4</t>
  </si>
  <si>
    <r>
      <rPr>
        <b val="true"/>
        <sz val="9.5"/>
        <rFont val="맑은 고딕"/>
        <family val="0"/>
        <charset val="1"/>
      </rPr>
      <t xml:space="preserve">DB </t>
    </r>
    <r>
      <rPr>
        <b val="true"/>
        <sz val="9.5"/>
        <rFont val="Noto Sans CJK SC"/>
        <family val="2"/>
      </rPr>
      <t xml:space="preserve">복제 중단</t>
    </r>
  </si>
  <si>
    <r>
      <rPr>
        <sz val="9.5"/>
        <rFont val="맑은 고딕"/>
        <family val="0"/>
        <charset val="1"/>
      </rPr>
      <t xml:space="preserve">Slave </t>
    </r>
    <r>
      <rPr>
        <sz val="9.5"/>
        <rFont val="Noto Sans CJK SC"/>
        <family val="2"/>
      </rPr>
      <t xml:space="preserve">에서 </t>
    </r>
    <r>
      <rPr>
        <sz val="9.5"/>
        <rFont val="맑은 고딕"/>
        <family val="0"/>
        <charset val="1"/>
      </rPr>
      <t xml:space="preserve">STOP SLAVE </t>
    </r>
    <r>
      <rPr>
        <sz val="9.5"/>
        <rFont val="Noto Sans CJK SC"/>
        <family val="2"/>
      </rPr>
      <t xml:space="preserve">실행 → 변경 이전 상태로 보존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롤백 시 </t>
    </r>
    <r>
      <rPr>
        <sz val="9.5"/>
        <rFont val="맑은 고딕"/>
        <family val="0"/>
        <charset val="1"/>
      </rPr>
      <t xml:space="preserve">Master </t>
    </r>
    <r>
      <rPr>
        <sz val="9.5"/>
        <rFont val="Noto Sans CJK SC"/>
        <family val="2"/>
      </rPr>
      <t xml:space="preserve">로 승격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변경 금지</t>
    </r>
    <r>
      <rPr>
        <sz val="9.5"/>
        <rFont val="맑은 고딕"/>
        <family val="0"/>
        <charset val="1"/>
      </rPr>
      <t xml:space="preserve">)</t>
    </r>
  </si>
  <si>
    <t xml:space="preserve">1-5</t>
  </si>
  <si>
    <t xml:space="preserve">컨테이너 중단</t>
  </si>
  <si>
    <r>
      <rPr>
        <sz val="9.5"/>
        <rFont val="Noto Sans CJK SC"/>
        <family val="2"/>
      </rPr>
      <t xml:space="preserve">웹 프론트엔드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종 → 백엔드 </t>
    </r>
    <r>
      <rPr>
        <sz val="9.5"/>
        <rFont val="맑은 고딕"/>
        <family val="0"/>
        <charset val="1"/>
      </rPr>
      <t xml:space="preserve">5</t>
    </r>
    <r>
      <rPr>
        <sz val="9.5"/>
        <rFont val="Noto Sans CJK SC"/>
        <family val="2"/>
      </rPr>
      <t xml:space="preserve">종 순으로 컨테이너 중단</t>
    </r>
  </si>
  <si>
    <t xml:space="preserve">2-1</t>
  </si>
  <si>
    <r>
      <rPr>
        <b val="true"/>
        <sz val="10"/>
        <color rgb="FFFFFFFF"/>
        <rFont val="맑은 고딕"/>
        <family val="0"/>
        <charset val="1"/>
      </rPr>
      <t xml:space="preserve">2. DB </t>
    </r>
    <r>
      <rPr>
        <b val="true"/>
        <sz val="10"/>
        <color rgb="FFFFFFFF"/>
        <rFont val="Noto Sans CJK SC"/>
        <family val="2"/>
      </rPr>
      <t xml:space="preserve">스키마 마이그레이션</t>
    </r>
  </si>
  <si>
    <t xml:space="preserve">변경 전 상태 보존 확인</t>
  </si>
  <si>
    <r>
      <rPr>
        <sz val="9.5"/>
        <rFont val="Noto Sans CJK SC"/>
        <family val="2"/>
      </rPr>
      <t xml:space="preserve">복제 중단 상태 및 </t>
    </r>
    <r>
      <rPr>
        <sz val="9.5"/>
        <rFont val="맑은 고딕"/>
        <family val="0"/>
        <charset val="1"/>
      </rPr>
      <t xml:space="preserve">Slave DB </t>
    </r>
    <r>
      <rPr>
        <sz val="9.5"/>
        <rFont val="Noto Sans CJK SC"/>
        <family val="2"/>
      </rPr>
      <t xml:space="preserve">가 변경 이전 상태로 보존되어 있는지 확인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롤백 기준</t>
    </r>
    <r>
      <rPr>
        <sz val="9.5"/>
        <rFont val="맑은 고딕"/>
        <family val="0"/>
        <charset val="1"/>
      </rPr>
      <t xml:space="preserve">)</t>
    </r>
  </si>
  <si>
    <t xml:space="preserve">2-2</t>
  </si>
  <si>
    <t xml:space="preserve">마이그레이션 실행</t>
  </si>
  <si>
    <r>
      <rPr>
        <sz val="9.5"/>
        <rFont val="맑은 고딕"/>
        <family val="0"/>
        <charset val="1"/>
      </rPr>
      <t xml:space="preserve">MariaDB Master </t>
    </r>
    <r>
      <rPr>
        <sz val="9.5"/>
        <rFont val="Noto Sans CJK SC"/>
        <family val="2"/>
      </rPr>
      <t xml:space="preserve">에만 마이그레이션 스크립트 실행 </t>
    </r>
    <r>
      <rPr>
        <sz val="9.5"/>
        <rFont val="맑은 고딕"/>
        <family val="0"/>
        <charset val="1"/>
      </rPr>
      <t xml:space="preserve">(Slave </t>
    </r>
    <r>
      <rPr>
        <sz val="9.5"/>
        <rFont val="Noto Sans CJK SC"/>
        <family val="2"/>
      </rPr>
      <t xml:space="preserve">직접 실행 금지</t>
    </r>
    <r>
      <rPr>
        <sz val="9.5"/>
        <rFont val="맑은 고딕"/>
        <family val="0"/>
        <charset val="1"/>
      </rPr>
      <t xml:space="preserve">)</t>
    </r>
  </si>
  <si>
    <t xml:space="preserve">2-3</t>
  </si>
  <si>
    <t xml:space="preserve">스키마 반영 확인</t>
  </si>
  <si>
    <r>
      <rPr>
        <sz val="9.5"/>
        <rFont val="Noto Sans CJK SC"/>
        <family val="2"/>
      </rPr>
      <t xml:space="preserve">추가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변경된 테이블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컬럼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인덱스 반영 여부 및 오류 로그 확인</t>
    </r>
  </si>
  <si>
    <t xml:space="preserve">3-1</t>
  </si>
  <si>
    <r>
      <rPr>
        <b val="true"/>
        <sz val="10"/>
        <color rgb="FFFFFFFF"/>
        <rFont val="맑은 고딕"/>
        <family val="0"/>
        <charset val="1"/>
      </rPr>
      <t xml:space="preserve">3. </t>
    </r>
    <r>
      <rPr>
        <b val="true"/>
        <sz val="10"/>
        <color rgb="FFFFFFFF"/>
        <rFont val="Noto Sans CJK SC"/>
        <family val="2"/>
      </rPr>
      <t xml:space="preserve">환경변수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설정 수정</t>
    </r>
  </si>
  <si>
    <r>
      <rPr>
        <b val="true"/>
        <sz val="9.5"/>
        <rFont val="Noto Sans CJK SC"/>
        <family val="2"/>
      </rPr>
      <t xml:space="preserve">기존 </t>
    </r>
    <r>
      <rPr>
        <b val="true"/>
        <sz val="9.5"/>
        <rFont val="맑은 고딕"/>
        <family val="0"/>
        <charset val="1"/>
      </rPr>
      <t xml:space="preserve">.env </t>
    </r>
    <r>
      <rPr>
        <b val="true"/>
        <sz val="9.5"/>
        <rFont val="Noto Sans CJK SC"/>
        <family val="2"/>
      </rPr>
      <t xml:space="preserve">백업</t>
    </r>
  </si>
  <si>
    <r>
      <rPr>
        <sz val="9.5"/>
        <rFont val="Noto Sans CJK SC"/>
        <family val="2"/>
      </rPr>
      <t xml:space="preserve">롤백 대비 현재 운영 중인 </t>
    </r>
    <r>
      <rPr>
        <sz val="9.5"/>
        <rFont val="맑은 고딕"/>
        <family val="0"/>
        <charset val="1"/>
      </rPr>
      <t xml:space="preserve">.env </t>
    </r>
    <r>
      <rPr>
        <sz val="9.5"/>
        <rFont val="Noto Sans CJK SC"/>
        <family val="2"/>
      </rPr>
      <t xml:space="preserve">파일 백업</t>
    </r>
  </si>
  <si>
    <t xml:space="preserve">3-2</t>
  </si>
  <si>
    <t xml:space="preserve">신규 환경변수 반영</t>
  </si>
  <si>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차 기능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키워드 부스팅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번역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그룹 녹음</t>
    </r>
    <r>
      <rPr>
        <sz val="9.5"/>
        <rFont val="맑은 고딕"/>
        <family val="0"/>
        <charset val="1"/>
      </rPr>
      <t xml:space="preserve">) </t>
    </r>
    <r>
      <rPr>
        <sz val="9.5"/>
        <rFont val="Noto Sans CJK SC"/>
        <family val="2"/>
      </rPr>
      <t xml:space="preserve">관련 환경변수 및 설정값 반영</t>
    </r>
  </si>
  <si>
    <t xml:space="preserve">3-3</t>
  </si>
  <si>
    <t xml:space="preserve">설정 파일 확인</t>
  </si>
  <si>
    <r>
      <rPr>
        <sz val="9.5"/>
        <rFont val="Noto Sans CJK SC"/>
        <family val="2"/>
      </rPr>
      <t xml:space="preserve">변경된 설정 파일 내용 검토 및 오타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누락 여부 확인</t>
    </r>
  </si>
  <si>
    <t xml:space="preserve">4-1</t>
  </si>
  <si>
    <r>
      <rPr>
        <b val="true"/>
        <sz val="10"/>
        <color rgb="FFFFFFFF"/>
        <rFont val="맑은 고딕"/>
        <family val="0"/>
        <charset val="1"/>
      </rPr>
      <t xml:space="preserve">4. </t>
    </r>
    <r>
      <rPr>
        <b val="true"/>
        <sz val="10"/>
        <color rgb="FFFFFFFF"/>
        <rFont val="Noto Sans CJK SC"/>
        <family val="2"/>
      </rPr>
      <t xml:space="preserve">서비스 기동 및 확인</t>
    </r>
  </si>
  <si>
    <t xml:space="preserve">백엔드 기동</t>
  </si>
  <si>
    <r>
      <rPr>
        <sz val="9.5"/>
        <rFont val="맑은 고딕"/>
        <family val="0"/>
        <charset val="1"/>
      </rPr>
      <t xml:space="preserve">Consul → Auth → Main → Notify → External → Admin API </t>
    </r>
    <r>
      <rPr>
        <sz val="9.5"/>
        <rFont val="Noto Sans CJK SC"/>
        <family val="2"/>
      </rPr>
      <t xml:space="preserve">순으로 기동</t>
    </r>
  </si>
  <si>
    <t xml:space="preserve">4-2</t>
  </si>
  <si>
    <r>
      <rPr>
        <b val="true"/>
        <sz val="9.5"/>
        <rFont val="Noto Sans CJK SC"/>
        <family val="2"/>
      </rPr>
      <t xml:space="preserve">게이트웨이 </t>
    </r>
    <r>
      <rPr>
        <b val="true"/>
        <sz val="9.5"/>
        <rFont val="맑은 고딕"/>
        <family val="0"/>
        <charset val="1"/>
      </rPr>
      <t xml:space="preserve">· </t>
    </r>
    <r>
      <rPr>
        <b val="true"/>
        <sz val="9.5"/>
        <rFont val="Noto Sans CJK SC"/>
        <family val="2"/>
      </rPr>
      <t xml:space="preserve">프론트 기동</t>
    </r>
  </si>
  <si>
    <r>
      <rPr>
        <sz val="9.5"/>
        <rFont val="맑은 고딕"/>
        <family val="0"/>
        <charset val="1"/>
      </rPr>
      <t xml:space="preserve">Web SCG · Mobile SCG → </t>
    </r>
    <r>
      <rPr>
        <sz val="9.5"/>
        <rFont val="Noto Sans CJK SC"/>
        <family val="2"/>
      </rPr>
      <t xml:space="preserve">로그인 서버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유저 사이트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관리 사이트 기동</t>
    </r>
  </si>
  <si>
    <t xml:space="preserve">4-3</t>
  </si>
  <si>
    <r>
      <rPr>
        <b val="true"/>
        <sz val="9.5"/>
        <rFont val="맑은 고딕"/>
        <family val="0"/>
        <charset val="1"/>
      </rPr>
      <t xml:space="preserve">DB </t>
    </r>
    <r>
      <rPr>
        <b val="true"/>
        <sz val="9.5"/>
        <rFont val="Noto Sans CJK SC"/>
        <family val="2"/>
      </rPr>
      <t xml:space="preserve">연결 및 복제 재개</t>
    </r>
  </si>
  <si>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연결 정상 확인 후 </t>
    </r>
    <r>
      <rPr>
        <sz val="9.5"/>
        <rFont val="맑은 고딕"/>
        <family val="0"/>
        <charset val="1"/>
      </rPr>
      <t xml:space="preserve">START SLAVE </t>
    </r>
    <r>
      <rPr>
        <sz val="9.5"/>
        <rFont val="Noto Sans CJK SC"/>
        <family val="2"/>
      </rPr>
      <t xml:space="preserve">실행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복제 상태 및 지연 확인</t>
    </r>
  </si>
  <si>
    <t xml:space="preserve">4-4</t>
  </si>
  <si>
    <t xml:space="preserve">기동 상태 확인</t>
  </si>
  <si>
    <r>
      <rPr>
        <sz val="9.5"/>
        <rFont val="Noto Sans CJK SC"/>
        <family val="2"/>
      </rPr>
      <t xml:space="preserve">전체 컨테이너 상태</t>
    </r>
    <r>
      <rPr>
        <sz val="9.5"/>
        <rFont val="맑은 고딕"/>
        <family val="0"/>
        <charset val="1"/>
      </rPr>
      <t xml:space="preserve">(docker ps) </t>
    </r>
    <r>
      <rPr>
        <sz val="9.5"/>
        <rFont val="Noto Sans CJK SC"/>
        <family val="2"/>
      </rPr>
      <t xml:space="preserve">및 기동 로그 오류 확인 </t>
    </r>
    <r>
      <rPr>
        <sz val="9.5"/>
        <rFont val="맑은 고딕"/>
        <family val="0"/>
        <charset val="1"/>
      </rPr>
      <t xml:space="preserve">(Dozzle) / Redis </t>
    </r>
    <r>
      <rPr>
        <sz val="9.5"/>
        <rFont val="Noto Sans CJK SC"/>
        <family val="2"/>
      </rPr>
      <t xml:space="preserve">캐시 초기화</t>
    </r>
  </si>
  <si>
    <t xml:space="preserve">5-1</t>
  </si>
  <si>
    <r>
      <rPr>
        <b val="true"/>
        <sz val="10"/>
        <color rgb="FFFFFFFF"/>
        <rFont val="맑은 고딕"/>
        <family val="0"/>
        <charset val="1"/>
      </rPr>
      <t xml:space="preserve">5. </t>
    </r>
    <r>
      <rPr>
        <b val="true"/>
        <sz val="10"/>
        <color rgb="FFFFFFFF"/>
        <rFont val="Noto Sans CJK SC"/>
        <family val="2"/>
      </rPr>
      <t xml:space="preserve">앱 </t>
    </r>
    <r>
      <rPr>
        <b val="true"/>
        <sz val="10"/>
        <color rgb="FFFFFFFF"/>
        <rFont val="맑은 고딕"/>
        <family val="0"/>
        <charset val="1"/>
      </rPr>
      <t xml:space="preserve">1.4.0 </t>
    </r>
    <r>
      <rPr>
        <b val="true"/>
        <sz val="10"/>
        <color rgb="FFFFFFFF"/>
        <rFont val="Noto Sans CJK SC"/>
        <family val="2"/>
      </rPr>
      <t xml:space="preserve">베타 배포</t>
    </r>
  </si>
  <si>
    <t xml:space="preserve">베타 버전 배포</t>
  </si>
  <si>
    <r>
      <rPr>
        <sz val="9.5"/>
        <rFont val="Noto Sans CJK SC"/>
        <family val="2"/>
      </rPr>
      <t xml:space="preserve">모바일 앱 </t>
    </r>
    <r>
      <rPr>
        <sz val="9.5"/>
        <rFont val="맑은 고딕"/>
        <family val="0"/>
        <charset val="1"/>
      </rPr>
      <t xml:space="preserve">1.4.0 </t>
    </r>
    <r>
      <rPr>
        <sz val="9.5"/>
        <rFont val="Noto Sans CJK SC"/>
        <family val="2"/>
      </rPr>
      <t xml:space="preserve">베타 버전 배포 및 테스트 단말 설치</t>
    </r>
  </si>
  <si>
    <t xml:space="preserve">앱</t>
  </si>
  <si>
    <t xml:space="preserve">5-2</t>
  </si>
  <si>
    <t xml:space="preserve">베타 연동 확인</t>
  </si>
  <si>
    <t xml:space="preserve">베타 버전 로그인 및 서버 연동 정상 동작 확인</t>
  </si>
  <si>
    <t xml:space="preserve">6-1</t>
  </si>
  <si>
    <r>
      <rPr>
        <b val="true"/>
        <sz val="10"/>
        <color rgb="FFFFFFFF"/>
        <rFont val="맑은 고딕"/>
        <family val="0"/>
        <charset val="1"/>
      </rPr>
      <t xml:space="preserve">6. </t>
    </r>
    <r>
      <rPr>
        <b val="true"/>
        <sz val="10"/>
        <color rgb="FFFFFFFF"/>
        <rFont val="Noto Sans CJK SC"/>
        <family val="2"/>
      </rPr>
      <t xml:space="preserve">웹 </t>
    </r>
    <r>
      <rPr>
        <b val="true"/>
        <sz val="10"/>
        <color rgb="FFFFFFFF"/>
        <rFont val="맑은 고딕"/>
        <family val="0"/>
        <charset val="1"/>
      </rPr>
      <t xml:space="preserve">UI </t>
    </r>
    <r>
      <rPr>
        <b val="true"/>
        <sz val="10"/>
        <color rgb="FFFFFFFF"/>
        <rFont val="Noto Sans CJK SC"/>
        <family val="2"/>
      </rPr>
      <t xml:space="preserve">검증</t>
    </r>
  </si>
  <si>
    <t xml:space="preserve">로그인 및 전체 메뉴 점검</t>
  </si>
  <si>
    <r>
      <rPr>
        <sz val="9.5"/>
        <rFont val="맑은 고딕"/>
        <family val="0"/>
        <charset val="1"/>
      </rPr>
      <t xml:space="preserve">SSO </t>
    </r>
    <r>
      <rPr>
        <sz val="9.5"/>
        <rFont val="Noto Sans CJK SC"/>
        <family val="2"/>
      </rPr>
      <t xml:space="preserve">로그인 후 전 메뉴 순차 클릭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오류 페이지 유무 확인</t>
    </r>
  </si>
  <si>
    <t xml:space="preserve">운영</t>
  </si>
  <si>
    <t xml:space="preserve">6-2</t>
  </si>
  <si>
    <t xml:space="preserve">기존 기능 회귀 점검</t>
  </si>
  <si>
    <r>
      <rPr>
        <sz val="9.5"/>
        <rFont val="Noto Sans CJK SC"/>
        <family val="2"/>
      </rPr>
      <t xml:space="preserve">기존 회의록 목록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상세 조회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회의록 생성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템플릿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보관 폴더 정상 동작 확인</t>
    </r>
  </si>
  <si>
    <t xml:space="preserve">6-3</t>
  </si>
  <si>
    <t xml:space="preserve">키워드 부스팅 검증</t>
  </si>
  <si>
    <r>
      <rPr>
        <sz val="9.5"/>
        <rFont val="Noto Sans CJK SC"/>
        <family val="2"/>
      </rPr>
      <t xml:space="preserve">개별 등록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일괄 등록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양식 다운로드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업로드</t>
    </r>
    <r>
      <rPr>
        <sz val="9.5"/>
        <rFont val="맑은 고딕"/>
        <family val="0"/>
        <charset val="1"/>
      </rPr>
      <t xml:space="preserve">) / </t>
    </r>
    <r>
      <rPr>
        <sz val="9.5"/>
        <rFont val="Noto Sans CJK SC"/>
        <family val="2"/>
      </rPr>
      <t xml:space="preserve">삭제 </t>
    </r>
    <r>
      <rPr>
        <sz val="9.5"/>
        <rFont val="맑은 고딕"/>
        <family val="0"/>
        <charset val="1"/>
      </rPr>
      <t xml:space="preserve">/ 100</t>
    </r>
    <r>
      <rPr>
        <sz val="9.5"/>
        <rFont val="Noto Sans CJK SC"/>
        <family val="2"/>
      </rPr>
      <t xml:space="preserve">개 제한 확인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0"/>
        <charset val="1"/>
      </rPr>
      <t xml:space="preserve">4 </t>
    </r>
    <r>
      <rPr>
        <sz val="9.5"/>
        <rFont val="Noto Sans CJK SC"/>
        <family val="2"/>
      </rPr>
      <t xml:space="preserve">참조</t>
    </r>
    <r>
      <rPr>
        <sz val="9.5"/>
        <rFont val="맑은 고딕"/>
        <family val="0"/>
        <charset val="1"/>
      </rPr>
      <t xml:space="preserve">)</t>
    </r>
  </si>
  <si>
    <t xml:space="preserve">6-4</t>
  </si>
  <si>
    <t xml:space="preserve">다국어 번역 검증</t>
  </si>
  <si>
    <r>
      <rPr>
        <sz val="9.5"/>
        <rFont val="Noto Sans CJK SC"/>
        <family val="2"/>
      </rPr>
      <t xml:space="preserve">번역 언어 선택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참석자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키워드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요약 번역 표시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읽기 전용 확인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0"/>
        <charset val="1"/>
      </rPr>
      <t xml:space="preserve">4 </t>
    </r>
    <r>
      <rPr>
        <sz val="9.5"/>
        <rFont val="Noto Sans CJK SC"/>
        <family val="2"/>
      </rPr>
      <t xml:space="preserve">참조</t>
    </r>
    <r>
      <rPr>
        <sz val="9.5"/>
        <rFont val="맑은 고딕"/>
        <family val="0"/>
        <charset val="1"/>
      </rPr>
      <t xml:space="preserve">)</t>
    </r>
  </si>
  <si>
    <t xml:space="preserve">6-5</t>
  </si>
  <si>
    <t xml:space="preserve">관리자 사이트 점검</t>
  </si>
  <si>
    <t xml:space="preserve">관리 사이트 주요 기능 및 신규 기능 관련 설정 항목 확인</t>
  </si>
  <si>
    <t xml:space="preserve">7-1</t>
  </si>
  <si>
    <r>
      <rPr>
        <b val="true"/>
        <sz val="10"/>
        <color rgb="FFFFFFFF"/>
        <rFont val="맑은 고딕"/>
        <family val="0"/>
        <charset val="1"/>
      </rPr>
      <t xml:space="preserve">7. </t>
    </r>
    <r>
      <rPr>
        <b val="true"/>
        <sz val="10"/>
        <color rgb="FFFFFFFF"/>
        <rFont val="Noto Sans CJK SC"/>
        <family val="2"/>
      </rPr>
      <t xml:space="preserve">앱 검증</t>
    </r>
  </si>
  <si>
    <t xml:space="preserve">일반 녹음 테스트</t>
  </si>
  <si>
    <r>
      <rPr>
        <sz val="9.5"/>
        <rFont val="Noto Sans CJK SC"/>
        <family val="2"/>
      </rPr>
      <t xml:space="preserve">녹음 시작 → 종료 → 참석자 수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언어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템플릿 선택 → 업로드 → 회의록 생성 확인</t>
    </r>
  </si>
  <si>
    <t xml:space="preserve">7-2</t>
  </si>
  <si>
    <t xml:space="preserve">그룹 녹음 테스트</t>
  </si>
  <si>
    <r>
      <rPr>
        <sz val="9.5"/>
        <rFont val="Noto Sans CJK SC"/>
        <family val="2"/>
      </rPr>
      <t xml:space="preserve">그룹 생성 → 코드 공유 → 참여 → 동시 녹음 → 종료 → 자동 업로드 및 병합 확인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0"/>
        <charset val="1"/>
      </rPr>
      <t xml:space="preserve">4 </t>
    </r>
    <r>
      <rPr>
        <sz val="9.5"/>
        <rFont val="Noto Sans CJK SC"/>
        <family val="2"/>
      </rPr>
      <t xml:space="preserve">참조</t>
    </r>
    <r>
      <rPr>
        <sz val="9.5"/>
        <rFont val="맑은 고딕"/>
        <family val="0"/>
        <charset val="1"/>
      </rPr>
      <t xml:space="preserve">)</t>
    </r>
  </si>
  <si>
    <t xml:space="preserve">7-3</t>
  </si>
  <si>
    <r>
      <rPr>
        <b val="true"/>
        <sz val="9.5"/>
        <rFont val="Noto Sans CJK SC"/>
        <family val="2"/>
      </rPr>
      <t xml:space="preserve">알림 </t>
    </r>
    <r>
      <rPr>
        <b val="true"/>
        <sz val="9.5"/>
        <rFont val="맑은 고딕"/>
        <family val="0"/>
        <charset val="1"/>
      </rPr>
      <t xml:space="preserve">· </t>
    </r>
    <r>
      <rPr>
        <b val="true"/>
        <sz val="9.5"/>
        <rFont val="Noto Sans CJK SC"/>
        <family val="2"/>
      </rPr>
      <t xml:space="preserve">웹 연동 확인</t>
    </r>
  </si>
  <si>
    <t xml:space="preserve">완료 알림 메시지 수신 및 웹에서 생성된 회의록 조회 확인</t>
  </si>
  <si>
    <t xml:space="preserve">8-1</t>
  </si>
  <si>
    <r>
      <rPr>
        <b val="true"/>
        <sz val="10"/>
        <color rgb="FFFFFFFF"/>
        <rFont val="맑은 고딕"/>
        <family val="0"/>
        <charset val="1"/>
      </rPr>
      <t xml:space="preserve">8. </t>
    </r>
    <r>
      <rPr>
        <b val="true"/>
        <sz val="10"/>
        <color rgb="FFFFFFFF"/>
        <rFont val="Noto Sans CJK SC"/>
        <family val="2"/>
      </rPr>
      <t xml:space="preserve">앱 </t>
    </r>
    <r>
      <rPr>
        <b val="true"/>
        <sz val="10"/>
        <color rgb="FFFFFFFF"/>
        <rFont val="맑은 고딕"/>
        <family val="0"/>
        <charset val="1"/>
      </rPr>
      <t xml:space="preserve">1.4.0 </t>
    </r>
    <r>
      <rPr>
        <b val="true"/>
        <sz val="10"/>
        <color rgb="FFFFFFFF"/>
        <rFont val="Noto Sans CJK SC"/>
        <family val="2"/>
      </rPr>
      <t xml:space="preserve">운영 배포</t>
    </r>
  </si>
  <si>
    <r>
      <rPr>
        <b val="true"/>
        <sz val="9.5"/>
        <rFont val="맑은 고딕"/>
        <family val="0"/>
        <charset val="1"/>
      </rPr>
      <t xml:space="preserve">Go / No-Go </t>
    </r>
    <r>
      <rPr>
        <b val="true"/>
        <sz val="9.5"/>
        <rFont val="Noto Sans CJK SC"/>
        <family val="2"/>
      </rPr>
      <t xml:space="preserve">판단</t>
    </r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</si>
  <si>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검증 결과 공유 후 운영 배포 여부 결정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이상 시 롤백 검토</t>
    </r>
    <r>
      <rPr>
        <sz val="9.5"/>
        <rFont val="맑은 고딕"/>
        <family val="0"/>
        <charset val="1"/>
      </rPr>
      <t xml:space="preserve">)</t>
    </r>
  </si>
  <si>
    <t xml:space="preserve">전원</t>
  </si>
  <si>
    <t xml:space="preserve">8-2</t>
  </si>
  <si>
    <t xml:space="preserve">운영 버전 배포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</si>
  <si>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1.4.0 </t>
    </r>
    <r>
      <rPr>
        <sz val="9.5"/>
        <rFont val="Noto Sans CJK SC"/>
        <family val="2"/>
      </rPr>
      <t xml:space="preserve">운영 버전 배포</t>
    </r>
  </si>
  <si>
    <t xml:space="preserve">8-3</t>
  </si>
  <si>
    <r>
      <rPr>
        <b val="true"/>
        <sz val="9.5"/>
        <rFont val="맑은 고딕"/>
        <family val="0"/>
        <charset val="1"/>
      </rPr>
      <t xml:space="preserve">HMP </t>
    </r>
    <r>
      <rPr>
        <b val="true"/>
        <sz val="9.5"/>
        <rFont val="Noto Sans CJK SC"/>
        <family val="2"/>
      </rPr>
      <t xml:space="preserve">오픈</t>
    </r>
  </si>
  <si>
    <r>
      <rPr>
        <sz val="9.5"/>
        <rFont val="Noto Sans CJK SC"/>
        <family val="2"/>
      </rPr>
      <t xml:space="preserve">지정 시각 오픈 처리 → 사용자 강제 업데이트 개시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이상 시 즉시 클로즈</t>
    </r>
    <r>
      <rPr>
        <sz val="9.5"/>
        <rFont val="맑은 고딕"/>
        <family val="0"/>
        <charset val="1"/>
      </rPr>
      <t xml:space="preserve">)</t>
    </r>
  </si>
  <si>
    <t xml:space="preserve">9-1</t>
  </si>
  <si>
    <r>
      <rPr>
        <b val="true"/>
        <sz val="10"/>
        <color rgb="FFFFFFFF"/>
        <rFont val="맑은 고딕"/>
        <family val="0"/>
        <charset val="1"/>
      </rPr>
      <t xml:space="preserve">9. </t>
    </r>
    <r>
      <rPr>
        <b val="true"/>
        <sz val="10"/>
        <color rgb="FFFFFFFF"/>
        <rFont val="Noto Sans CJK SC"/>
        <family val="2"/>
      </rPr>
      <t xml:space="preserve">최종 확인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완료 보고</t>
    </r>
  </si>
  <si>
    <t xml:space="preserve">점검 페이지 해제</t>
  </si>
  <si>
    <t xml:space="preserve">점검 안내 페이지 해제 및 서비스 정상 접속 확인</t>
  </si>
  <si>
    <t xml:space="preserve">9-2</t>
  </si>
  <si>
    <t xml:space="preserve">모니터링 확인</t>
  </si>
  <si>
    <r>
      <rPr>
        <sz val="9.5"/>
        <rFont val="맑은 고딕"/>
        <family val="0"/>
        <charset val="1"/>
      </rPr>
      <t xml:space="preserve">Uptime Kuma </t>
    </r>
    <r>
      <rPr>
        <sz val="9.5"/>
        <rFont val="Noto Sans CJK SC"/>
        <family val="2"/>
      </rPr>
      <t xml:space="preserve">가동 상태 </t>
    </r>
    <r>
      <rPr>
        <sz val="9.5"/>
        <rFont val="맑은 고딕"/>
        <family val="0"/>
        <charset val="1"/>
      </rPr>
      <t xml:space="preserve">/ Dozzle </t>
    </r>
    <r>
      <rPr>
        <sz val="9.5"/>
        <rFont val="Noto Sans CJK SC"/>
        <family val="2"/>
      </rPr>
      <t xml:space="preserve">오류 로그 </t>
    </r>
    <r>
      <rPr>
        <sz val="9.5"/>
        <rFont val="맑은 고딕"/>
        <family val="0"/>
        <charset val="1"/>
      </rPr>
      <t xml:space="preserve">/ Grafana </t>
    </r>
    <r>
      <rPr>
        <sz val="9.5"/>
        <rFont val="Noto Sans CJK SC"/>
        <family val="2"/>
      </rPr>
      <t xml:space="preserve">자원 지표 </t>
    </r>
    <r>
      <rPr>
        <sz val="9.5"/>
        <rFont val="맑은 고딕"/>
        <family val="0"/>
        <charset val="1"/>
      </rPr>
      <t xml:space="preserve">/ DB </t>
    </r>
    <r>
      <rPr>
        <sz val="9.5"/>
        <rFont val="Noto Sans CJK SC"/>
        <family val="2"/>
      </rPr>
      <t xml:space="preserve">복제 상태 확인</t>
    </r>
  </si>
  <si>
    <t xml:space="preserve">9-3</t>
  </si>
  <si>
    <t xml:space="preserve">배포 완료 보고</t>
  </si>
  <si>
    <t xml:space="preserve">배포 결과 및 특이사항 정리 후 고객사 담당자 보고</t>
  </si>
  <si>
    <t xml:space="preserve">합 계</t>
  </si>
  <si>
    <t xml:space="preserve">완료 항목</t>
  </si>
  <si>
    <t xml:space="preserve">■ 사용 방법</t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</si>
  <si>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노란색 셀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작업 시작 시각 </t>
    </r>
    <r>
      <rPr>
        <sz val="9.5"/>
        <color rgb="FF44506B"/>
        <rFont val="맑은 고딕"/>
        <family val="0"/>
        <charset val="1"/>
      </rPr>
      <t xml:space="preserve">/ </t>
    </r>
    <r>
      <rPr>
        <sz val="9.5"/>
        <color rgb="FF44506B"/>
        <rFont val="Noto Sans CJK SC"/>
        <family val="2"/>
      </rPr>
      <t xml:space="preserve">완료 </t>
    </r>
    <r>
      <rPr>
        <sz val="9.5"/>
        <color rgb="FF44506B"/>
        <rFont val="맑은 고딕"/>
        <family val="0"/>
        <charset val="1"/>
      </rPr>
      <t xml:space="preserve">/ </t>
    </r>
    <r>
      <rPr>
        <sz val="9.5"/>
        <color rgb="FF44506B"/>
        <rFont val="Noto Sans CJK SC"/>
        <family val="2"/>
      </rPr>
      <t xml:space="preserve">실제 완료 시각 </t>
    </r>
    <r>
      <rPr>
        <sz val="9.5"/>
        <color rgb="FF44506B"/>
        <rFont val="맑은 고딕"/>
        <family val="0"/>
        <charset val="1"/>
      </rPr>
      <t xml:space="preserve">/ </t>
    </r>
    <r>
      <rPr>
        <sz val="9.5"/>
        <color rgb="FF44506B"/>
        <rFont val="Noto Sans CJK SC"/>
        <family val="2"/>
      </rPr>
      <t xml:space="preserve">비고</t>
    </r>
    <r>
      <rPr>
        <sz val="9.5"/>
        <color rgb="FF44506B"/>
        <rFont val="맑은 고딕"/>
        <family val="0"/>
        <charset val="1"/>
      </rPr>
      <t xml:space="preserve">)</t>
    </r>
    <r>
      <rPr>
        <sz val="9.5"/>
        <color rgb="FF44506B"/>
        <rFont val="Noto Sans CJK SC"/>
        <family val="2"/>
      </rPr>
      <t xml:space="preserve">만 입력하시면 됩니다</t>
    </r>
    <r>
      <rPr>
        <sz val="9.5"/>
        <color rgb="FF44506B"/>
        <rFont val="맑은 고딕"/>
        <family val="0"/>
        <charset val="1"/>
      </rPr>
      <t xml:space="preserve">. </t>
    </r>
    <r>
      <rPr>
        <sz val="9.5"/>
        <color rgb="FF44506B"/>
        <rFont val="Noto Sans CJK SC"/>
        <family val="2"/>
      </rPr>
      <t xml:space="preserve">예정 시작</t>
    </r>
    <r>
      <rPr>
        <sz val="9.5"/>
        <color rgb="FF44506B"/>
        <rFont val="맑은 고딕"/>
        <family val="0"/>
        <charset val="1"/>
      </rPr>
      <t xml:space="preserve">·</t>
    </r>
    <r>
      <rPr>
        <sz val="9.5"/>
        <color rgb="FF44506B"/>
        <rFont val="Noto Sans CJK SC"/>
        <family val="2"/>
      </rPr>
      <t xml:space="preserve">종료 시각은 소요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분</t>
    </r>
    <r>
      <rPr>
        <sz val="9.5"/>
        <color rgb="FF44506B"/>
        <rFont val="맑은 고딕"/>
        <family val="0"/>
        <charset val="1"/>
      </rPr>
      <t xml:space="preserve">)</t>
    </r>
    <r>
      <rPr>
        <sz val="9.5"/>
        <color rgb="FF44506B"/>
        <rFont val="Noto Sans CJK SC"/>
        <family val="2"/>
      </rPr>
      <t xml:space="preserve">을 기준으로 자동 계산됩니다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</si>
  <si>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특정 단계가 지연되면 해당 행의 소요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분</t>
    </r>
    <r>
      <rPr>
        <sz val="9.5"/>
        <color rgb="FF44506B"/>
        <rFont val="맑은 고딕"/>
        <family val="0"/>
        <charset val="1"/>
      </rPr>
      <t xml:space="preserve">)</t>
    </r>
    <r>
      <rPr>
        <sz val="9.5"/>
        <color rgb="FF44506B"/>
        <rFont val="Noto Sans CJK SC"/>
        <family val="2"/>
      </rPr>
      <t xml:space="preserve">만 수정하시면 이후 모든 단계의 예정 시각이 자동으로 순연됩니다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</si>
  <si>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배포 일시가 확정되면 </t>
    </r>
    <r>
      <rPr>
        <sz val="9.5"/>
        <color rgb="FF44506B"/>
        <rFont val="맑은 고딕"/>
        <family val="0"/>
        <charset val="1"/>
      </rPr>
      <t xml:space="preserve">'</t>
    </r>
    <r>
      <rPr>
        <sz val="9.5"/>
        <color rgb="FF44506B"/>
        <rFont val="Noto Sans CJK SC"/>
        <family val="2"/>
      </rPr>
      <t xml:space="preserve">작업 시작 시각</t>
    </r>
    <r>
      <rPr>
        <sz val="9.5"/>
        <color rgb="FF44506B"/>
        <rFont val="맑은 고딕"/>
        <family val="0"/>
        <charset val="1"/>
      </rPr>
      <t xml:space="preserve">' </t>
    </r>
    <r>
      <rPr>
        <sz val="9.5"/>
        <color rgb="FF44506B"/>
        <rFont val="Noto Sans CJK SC"/>
        <family val="2"/>
      </rPr>
      <t xml:space="preserve">한 칸만 바꾸면 전체 일정이 재계산됩니다</t>
    </r>
    <r>
      <rPr>
        <sz val="9.5"/>
        <color rgb="FF44506B"/>
        <rFont val="맑은 고딕"/>
        <family val="0"/>
        <charset val="1"/>
      </rPr>
      <t xml:space="preserve">.</t>
    </r>
  </si>
  <si>
    <t xml:space="preserve">■ 주요 유의 사항</t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</si>
  <si>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운영 구조상 전체 덤프 백업은 수행하지 않습니다</t>
    </r>
    <r>
      <rPr>
        <sz val="9.5"/>
        <color rgb="FF44506B"/>
        <rFont val="맑은 고딕"/>
        <family val="0"/>
        <charset val="1"/>
      </rPr>
      <t xml:space="preserve">. </t>
    </r>
    <r>
      <rPr>
        <sz val="9.5"/>
        <color rgb="FF44506B"/>
        <rFont val="Noto Sans CJK SC"/>
        <family val="2"/>
      </rPr>
      <t xml:space="preserve">복제를 중단하여 </t>
    </r>
    <r>
      <rPr>
        <sz val="9.5"/>
        <color rgb="FF44506B"/>
        <rFont val="맑은 고딕"/>
        <family val="0"/>
        <charset val="1"/>
      </rPr>
      <t xml:space="preserve">Slave DB </t>
    </r>
    <r>
      <rPr>
        <sz val="9.5"/>
        <color rgb="FF44506B"/>
        <rFont val="Noto Sans CJK SC"/>
        <family val="2"/>
      </rPr>
      <t xml:space="preserve">가 변경 이전 상태를 유지하도록 하는 것이 복구 수단입니다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</si>
  <si>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마이그레이션은 </t>
    </r>
    <r>
      <rPr>
        <sz val="9.5"/>
        <color rgb="FF44506B"/>
        <rFont val="맑은 고딕"/>
        <family val="0"/>
        <charset val="1"/>
      </rPr>
      <t xml:space="preserve">Master </t>
    </r>
    <r>
      <rPr>
        <sz val="9.5"/>
        <color rgb="FF44506B"/>
        <rFont val="Noto Sans CJK SC"/>
        <family val="2"/>
      </rPr>
      <t xml:space="preserve">에만 실행합니다</t>
    </r>
    <r>
      <rPr>
        <sz val="9.5"/>
        <color rgb="FF44506B"/>
        <rFont val="맑은 고딕"/>
        <family val="0"/>
        <charset val="1"/>
      </rPr>
      <t xml:space="preserve">. Slave </t>
    </r>
    <r>
      <rPr>
        <sz val="9.5"/>
        <color rgb="FF44506B"/>
        <rFont val="Noto Sans CJK SC"/>
        <family val="2"/>
      </rPr>
      <t xml:space="preserve">는 복제 재개 시 자동 반영되며</t>
    </r>
    <r>
      <rPr>
        <sz val="9.5"/>
        <color rgb="FF44506B"/>
        <rFont val="맑은 고딕"/>
        <family val="0"/>
        <charset val="1"/>
      </rPr>
      <t xml:space="preserve">, </t>
    </r>
    <r>
      <rPr>
        <sz val="9.5"/>
        <color rgb="FF44506B"/>
        <rFont val="Noto Sans CJK SC"/>
        <family val="2"/>
      </rPr>
      <t xml:space="preserve">직접 실행 시 복제가 중단됩니다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</si>
  <si>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롤백 시에는 </t>
    </r>
    <r>
      <rPr>
        <sz val="9.5"/>
        <color rgb="FF44506B"/>
        <rFont val="맑은 고딕"/>
        <family val="0"/>
        <charset val="1"/>
      </rPr>
      <t xml:space="preserve">Slave </t>
    </r>
    <r>
      <rPr>
        <sz val="9.5"/>
        <color rgb="FF44506B"/>
        <rFont val="Noto Sans CJK SC"/>
        <family val="2"/>
      </rPr>
      <t xml:space="preserve">를 </t>
    </r>
    <r>
      <rPr>
        <sz val="9.5"/>
        <color rgb="FF44506B"/>
        <rFont val="맑은 고딕"/>
        <family val="0"/>
        <charset val="1"/>
      </rPr>
      <t xml:space="preserve">Master </t>
    </r>
    <r>
      <rPr>
        <sz val="9.5"/>
        <color rgb="FF44506B"/>
        <rFont val="Noto Sans CJK SC"/>
        <family val="2"/>
      </rPr>
      <t xml:space="preserve">로 승격하여 복구하므로</t>
    </r>
    <r>
      <rPr>
        <sz val="9.5"/>
        <color rgb="FF44506B"/>
        <rFont val="맑은 고딕"/>
        <family val="0"/>
        <charset val="1"/>
      </rPr>
      <t xml:space="preserve">, </t>
    </r>
    <r>
      <rPr>
        <sz val="9.5"/>
        <color rgb="FF44506B"/>
        <rFont val="Noto Sans CJK SC"/>
        <family val="2"/>
      </rPr>
      <t xml:space="preserve">배포 중 </t>
    </r>
    <r>
      <rPr>
        <sz val="9.5"/>
        <color rgb="FF44506B"/>
        <rFont val="맑은 고딕"/>
        <family val="0"/>
        <charset val="1"/>
      </rPr>
      <t xml:space="preserve">Slave </t>
    </r>
    <r>
      <rPr>
        <sz val="9.5"/>
        <color rgb="FF44506B"/>
        <rFont val="Noto Sans CJK SC"/>
        <family val="2"/>
      </rPr>
      <t xml:space="preserve">데이터를 절대 변경하지 마십시오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</si>
  <si>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서비스 중지 전 </t>
    </r>
    <r>
      <rPr>
        <sz val="9.5"/>
        <color rgb="FF44506B"/>
        <rFont val="맑은 고딕"/>
        <family val="0"/>
        <charset val="1"/>
      </rPr>
      <t xml:space="preserve">STT · LLM </t>
    </r>
    <r>
      <rPr>
        <sz val="9.5"/>
        <color rgb="FF44506B"/>
        <rFont val="Noto Sans CJK SC"/>
        <family val="2"/>
      </rPr>
      <t xml:space="preserve">큐 워커의 진행 중 작업 완료를 반드시 확인합니다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</si>
  <si>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앱은 베타 배포 → 검증 통과 후에만 운영 배포 및 </t>
    </r>
    <r>
      <rPr>
        <sz val="9.5"/>
        <color rgb="FF44506B"/>
        <rFont val="맑은 고딕"/>
        <family val="0"/>
        <charset val="1"/>
      </rPr>
      <t xml:space="preserve">HMP </t>
    </r>
    <r>
      <rPr>
        <sz val="9.5"/>
        <color rgb="FF44506B"/>
        <rFont val="Noto Sans CJK SC"/>
        <family val="2"/>
      </rPr>
      <t xml:space="preserve">오픈을 진행합니다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</si>
  <si>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롤백 결정 시한은 작업 시작 </t>
    </r>
    <r>
      <rPr>
        <sz val="9.5"/>
        <color rgb="FF44506B"/>
        <rFont val="맑은 고딕"/>
        <family val="0"/>
        <charset val="1"/>
      </rPr>
      <t xml:space="preserve">+ 2</t>
    </r>
    <r>
      <rPr>
        <sz val="9.5"/>
        <color rgb="FF44506B"/>
        <rFont val="Noto Sans CJK SC"/>
        <family val="2"/>
      </rPr>
      <t xml:space="preserve">시간이며</t>
    </r>
    <r>
      <rPr>
        <sz val="9.5"/>
        <color rgb="FF44506B"/>
        <rFont val="맑은 고딕"/>
        <family val="0"/>
        <charset val="1"/>
      </rPr>
      <t xml:space="preserve">, </t>
    </r>
    <r>
      <rPr>
        <sz val="9.5"/>
        <color rgb="FF44506B"/>
        <rFont val="Noto Sans CJK SC"/>
        <family val="2"/>
      </rPr>
      <t xml:space="preserve">롤백 절차는 시트 </t>
    </r>
    <r>
      <rPr>
        <sz val="9.5"/>
        <color rgb="FF44506B"/>
        <rFont val="맑은 고딕"/>
        <family val="0"/>
        <charset val="1"/>
      </rPr>
      <t xml:space="preserve">3 </t>
    </r>
    <r>
      <rPr>
        <sz val="9.5"/>
        <color rgb="FF44506B"/>
        <rFont val="Noto Sans CJK SC"/>
        <family val="2"/>
      </rPr>
      <t xml:space="preserve">을 따릅니다</t>
    </r>
    <r>
      <rPr>
        <sz val="9.5"/>
        <color rgb="FF44506B"/>
        <rFont val="맑은 고딕"/>
        <family val="0"/>
        <charset val="1"/>
      </rPr>
      <t xml:space="preserve">. (</t>
    </r>
    <r>
      <rPr>
        <sz val="9.5"/>
        <color rgb="FF44506B"/>
        <rFont val="Noto Sans CJK SC"/>
        <family val="2"/>
      </rPr>
      <t xml:space="preserve">예상 소요 </t>
    </r>
    <r>
      <rPr>
        <sz val="9.5"/>
        <color rgb="FF44506B"/>
        <rFont val="맑은 고딕"/>
        <family val="0"/>
        <charset val="1"/>
      </rPr>
      <t xml:space="preserve">30</t>
    </r>
    <r>
      <rPr>
        <sz val="9.5"/>
        <color rgb="FF44506B"/>
        <rFont val="Noto Sans CJK SC"/>
        <family val="2"/>
      </rPr>
      <t xml:space="preserve">분</t>
    </r>
    <r>
      <rPr>
        <sz val="9.5"/>
        <color rgb="FF44506B"/>
        <rFont val="맑은 고딕"/>
        <family val="0"/>
        <charset val="1"/>
      </rPr>
      <t xml:space="preserve">)</t>
    </r>
  </si>
  <si>
    <r>
      <rPr>
        <b val="true"/>
        <sz val="15"/>
        <color rgb="FF21295C"/>
        <rFont val="맑은 고딕"/>
        <family val="0"/>
        <charset val="1"/>
      </rPr>
      <t xml:space="preserve">2</t>
    </r>
    <r>
      <rPr>
        <b val="true"/>
        <sz val="15"/>
        <color rgb="FF21295C"/>
        <rFont val="Noto Sans CJK SC"/>
        <family val="2"/>
      </rPr>
      <t xml:space="preserve">차 배포 사전 준비 체크리스트 </t>
    </r>
    <r>
      <rPr>
        <b val="true"/>
        <sz val="15"/>
        <color rgb="FF21295C"/>
        <rFont val="맑은 고딕"/>
        <family val="0"/>
        <charset val="1"/>
      </rPr>
      <t xml:space="preserve">(D-1)</t>
    </r>
  </si>
  <si>
    <r>
      <rPr>
        <sz val="9"/>
        <color rgb="FF6B7785"/>
        <rFont val="Noto Sans CJK SC"/>
        <family val="2"/>
      </rPr>
      <t xml:space="preserve">배포 전일까지 완료되어야 하는 준비 항목입니다</t>
    </r>
    <r>
      <rPr>
        <sz val="9"/>
        <color rgb="FF6B7785"/>
        <rFont val="맑은 고딕"/>
        <family val="0"/>
        <charset val="1"/>
      </rPr>
      <t xml:space="preserve">. </t>
    </r>
    <r>
      <rPr>
        <sz val="9"/>
        <color rgb="FF6B7785"/>
        <rFont val="Noto Sans CJK SC"/>
        <family val="2"/>
      </rPr>
      <t xml:space="preserve">데이터베이스 전체 백업이 사전 준비에 포함됩니다</t>
    </r>
    <r>
      <rPr>
        <sz val="9"/>
        <color rgb="FF6B7785"/>
        <rFont val="맑은 고딕"/>
        <family val="0"/>
        <charset val="1"/>
      </rPr>
      <t xml:space="preserve">.</t>
    </r>
  </si>
  <si>
    <t xml:space="preserve">구분</t>
  </si>
  <si>
    <t xml:space="preserve">준비 항목</t>
  </si>
  <si>
    <t xml:space="preserve">상세 내용</t>
  </si>
  <si>
    <t xml:space="preserve">완료 예정일</t>
  </si>
  <si>
    <t xml:space="preserve">비고</t>
  </si>
  <si>
    <t xml:space="preserve">배포 자산</t>
  </si>
  <si>
    <t xml:space="preserve">컨테이너 이미지 반입</t>
  </si>
  <si>
    <r>
      <rPr>
        <sz val="9.5"/>
        <rFont val="Noto Sans CJK SC"/>
        <family val="2"/>
      </rPr>
      <t xml:space="preserve">배포 대상 서비스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앱 제외</t>
    </r>
    <r>
      <rPr>
        <sz val="9.5"/>
        <rFont val="맑은 고딕"/>
        <family val="0"/>
        <charset val="1"/>
      </rPr>
      <t xml:space="preserve">)</t>
    </r>
    <r>
      <rPr>
        <sz val="9.5"/>
        <rFont val="Noto Sans CJK SC"/>
        <family val="2"/>
      </rPr>
      <t xml:space="preserve">의 신규 버전 이미지 반입 및 서버 보관 확인</t>
    </r>
  </si>
  <si>
    <t xml:space="preserve">D-1</t>
  </si>
  <si>
    <t xml:space="preserve">배포 버전 확정 및 기록</t>
  </si>
  <si>
    <r>
      <rPr>
        <sz val="9.5"/>
        <rFont val="Noto Sans CJK SC"/>
        <family val="2"/>
      </rPr>
      <t xml:space="preserve">배포 대상 이미지 태그와 롤백 대상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직전 버전</t>
    </r>
    <r>
      <rPr>
        <sz val="9.5"/>
        <rFont val="맑은 고딕"/>
        <family val="0"/>
        <charset val="1"/>
      </rPr>
      <t xml:space="preserve">) </t>
    </r>
    <r>
      <rPr>
        <sz val="9.5"/>
        <rFont val="Noto Sans CJK SC"/>
        <family val="2"/>
      </rPr>
      <t xml:space="preserve">태그를 문서에 명시</t>
    </r>
  </si>
  <si>
    <t xml:space="preserve">직전 버전 이미지 보관 확인</t>
  </si>
  <si>
    <t xml:space="preserve">롤백 시 사용할 직전 운영 버전 이미지 보관 상태 확인</t>
  </si>
  <si>
    <t xml:space="preserve">데이터베이스</t>
  </si>
  <si>
    <t xml:space="preserve">마이그레이션 스크립트 준비</t>
  </si>
  <si>
    <r>
      <rPr>
        <sz val="9.5"/>
        <rFont val="Noto Sans CJK SC"/>
        <family val="2"/>
      </rPr>
      <t xml:space="preserve">스키마 마이그레이션 쿼리 스크립트 최종본 확정 및 실행 순서 정리 </t>
    </r>
    <r>
      <rPr>
        <sz val="9.5"/>
        <rFont val="맑은 고딕"/>
        <family val="0"/>
        <charset val="1"/>
      </rPr>
      <t xml:space="preserve">(Master </t>
    </r>
    <r>
      <rPr>
        <sz val="9.5"/>
        <rFont val="Noto Sans CJK SC"/>
        <family val="2"/>
      </rPr>
      <t xml:space="preserve">전용</t>
    </r>
    <r>
      <rPr>
        <sz val="9.5"/>
        <rFont val="맑은 고딕"/>
        <family val="0"/>
        <charset val="1"/>
      </rPr>
      <t xml:space="preserve">)</t>
    </r>
  </si>
  <si>
    <t xml:space="preserve">스크립트 사전 검증</t>
  </si>
  <si>
    <r>
      <rPr>
        <sz val="9.5"/>
        <rFont val="Noto Sans CJK SC"/>
        <family val="2"/>
      </rPr>
      <t xml:space="preserve">개발</t>
    </r>
    <r>
      <rPr>
        <sz val="9.5"/>
        <rFont val="맑은 고딕"/>
        <family val="0"/>
        <charset val="1"/>
      </rPr>
      <t xml:space="preserve">/</t>
    </r>
    <r>
      <rPr>
        <sz val="9.5"/>
        <rFont val="Noto Sans CJK SC"/>
        <family val="2"/>
      </rPr>
      <t xml:space="preserve">스테이징 환경에서 마이그레이션 실행 및 결과 검증 완료</t>
    </r>
  </si>
  <si>
    <t xml:space="preserve">복구 방식 사전 확인</t>
  </si>
  <si>
    <r>
      <rPr>
        <sz val="9.5"/>
        <rFont val="Noto Sans CJK SC"/>
        <family val="2"/>
      </rPr>
      <t xml:space="preserve">복제 중단 → </t>
    </r>
    <r>
      <rPr>
        <sz val="9.5"/>
        <rFont val="맑은 고딕"/>
        <family val="0"/>
        <charset val="1"/>
      </rPr>
      <t xml:space="preserve">Slave </t>
    </r>
    <r>
      <rPr>
        <sz val="9.5"/>
        <rFont val="Noto Sans CJK SC"/>
        <family val="2"/>
      </rPr>
      <t xml:space="preserve">를 </t>
    </r>
    <r>
      <rPr>
        <sz val="9.5"/>
        <rFont val="맑은 고딕"/>
        <family val="0"/>
        <charset val="1"/>
      </rPr>
      <t xml:space="preserve">Master </t>
    </r>
    <r>
      <rPr>
        <sz val="9.5"/>
        <rFont val="Noto Sans CJK SC"/>
        <family val="2"/>
      </rPr>
      <t xml:space="preserve">로 승격하는 절차 및 소요 시간 사전 확인</t>
    </r>
  </si>
  <si>
    <t xml:space="preserve">접속 정보 전환 방법 확인</t>
  </si>
  <si>
    <r>
      <rPr>
        <sz val="9.5"/>
        <rFont val="Noto Sans CJK SC"/>
        <family val="2"/>
      </rPr>
      <t xml:space="preserve">롤백 시 애플리케이션의 </t>
    </r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접속 정보를 전환하는 방법 및 소요 시간 확인</t>
    </r>
  </si>
  <si>
    <t xml:space="preserve">설정</t>
  </si>
  <si>
    <t xml:space="preserve">환경변수 변경 사항 정리</t>
  </si>
  <si>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차 기능 관련 신규</t>
    </r>
    <r>
      <rPr>
        <sz val="9.5"/>
        <rFont val="맑은 고딕"/>
        <family val="0"/>
        <charset val="1"/>
      </rPr>
      <t xml:space="preserve">/</t>
    </r>
    <r>
      <rPr>
        <sz val="9.5"/>
        <rFont val="Noto Sans CJK SC"/>
        <family val="2"/>
      </rPr>
      <t xml:space="preserve">변경 환경변수 목록 정리 </t>
    </r>
    <r>
      <rPr>
        <sz val="9.5"/>
        <rFont val="맑은 고딕"/>
        <family val="0"/>
        <charset val="1"/>
      </rPr>
      <t xml:space="preserve">(.env </t>
    </r>
    <r>
      <rPr>
        <sz val="9.5"/>
        <rFont val="Noto Sans CJK SC"/>
        <family val="2"/>
      </rPr>
      <t xml:space="preserve">등</t>
    </r>
    <r>
      <rPr>
        <sz val="9.5"/>
        <rFont val="맑은 고딕"/>
        <family val="0"/>
        <charset val="1"/>
      </rPr>
      <t xml:space="preserve">)</t>
    </r>
  </si>
  <si>
    <r>
      <rPr>
        <b val="true"/>
        <sz val="9.5"/>
        <rFont val="Noto Sans CJK SC"/>
        <family val="2"/>
      </rPr>
      <t xml:space="preserve">앱 </t>
    </r>
    <r>
      <rPr>
        <b val="true"/>
        <sz val="9.5"/>
        <rFont val="맑은 고딕"/>
        <family val="0"/>
        <charset val="1"/>
      </rPr>
      <t xml:space="preserve">1.4.0 </t>
    </r>
    <r>
      <rPr>
        <b val="true"/>
        <sz val="9.5"/>
        <rFont val="Noto Sans CJK SC"/>
        <family val="2"/>
      </rPr>
      <t xml:space="preserve">빌드 준비</t>
    </r>
  </si>
  <si>
    <t xml:space="preserve">베타 버전 및 운영 버전 빌드 준비 완료</t>
  </si>
  <si>
    <t xml:space="preserve">앱 스토어 등록 확인</t>
  </si>
  <si>
    <r>
      <rPr>
        <sz val="9.5"/>
        <rFont val="맑은 고딕"/>
        <family val="0"/>
        <charset val="1"/>
      </rPr>
      <t xml:space="preserve">iOS · Android 1.4.0 </t>
    </r>
    <r>
      <rPr>
        <sz val="9.5"/>
        <rFont val="Noto Sans CJK SC"/>
        <family val="2"/>
      </rPr>
      <t xml:space="preserve">심사 및 등록 완료 상태 확인</t>
    </r>
  </si>
  <si>
    <r>
      <rPr>
        <b val="true"/>
        <sz val="9.5"/>
        <rFont val="맑은 고딕"/>
        <family val="0"/>
        <charset val="1"/>
      </rPr>
      <t xml:space="preserve">HMP </t>
    </r>
    <r>
      <rPr>
        <b val="true"/>
        <sz val="9.5"/>
        <rFont val="Noto Sans CJK SC"/>
        <family val="2"/>
      </rPr>
      <t xml:space="preserve">오픈 설정 확인</t>
    </r>
  </si>
  <si>
    <t xml:space="preserve">지정 시각 오픈 및 강제 업데이트 설정 확인</t>
  </si>
  <si>
    <t xml:space="preserve">그룹 녹음 테스트 단말 준비</t>
  </si>
  <si>
    <r>
      <rPr>
        <sz val="9.5"/>
        <rFont val="Noto Sans CJK SC"/>
        <family val="2"/>
      </rPr>
      <t xml:space="preserve">그룹 녹음 검증을 위한 테스트 단말 </t>
    </r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대 이상 준비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진행자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참여자</t>
    </r>
    <r>
      <rPr>
        <sz val="9.5"/>
        <rFont val="맑은 고딕"/>
        <family val="0"/>
        <charset val="1"/>
      </rPr>
      <t xml:space="preserve">)</t>
    </r>
  </si>
  <si>
    <t xml:space="preserve">공지</t>
  </si>
  <si>
    <t xml:space="preserve">사용자 사전 공지</t>
  </si>
  <si>
    <t xml:space="preserve">배포 일시 및 서비스 중단 시간 사전 공지 발송</t>
  </si>
  <si>
    <t xml:space="preserve">점검 안내 페이지 준비</t>
  </si>
  <si>
    <t xml:space="preserve">중단 구간에 노출할 점검 안내 페이지 준비 및 전환 방법 확인</t>
  </si>
  <si>
    <t xml:space="preserve">배포 일시 확정</t>
  </si>
  <si>
    <r>
      <rPr>
        <sz val="9.5"/>
        <rFont val="Noto Sans CJK SC"/>
        <family val="2"/>
      </rPr>
      <t xml:space="preserve">고객사와 배포 일시 확정 후 체크리스트 </t>
    </r>
    <r>
      <rPr>
        <sz val="9.5"/>
        <rFont val="맑은 고딕"/>
        <family val="0"/>
        <charset val="1"/>
      </rPr>
      <t xml:space="preserve">'</t>
    </r>
    <r>
      <rPr>
        <sz val="9.5"/>
        <rFont val="Noto Sans CJK SC"/>
        <family val="2"/>
      </rPr>
      <t xml:space="preserve">작업 시작 시각</t>
    </r>
    <r>
      <rPr>
        <sz val="9.5"/>
        <rFont val="맑은 고딕"/>
        <family val="0"/>
        <charset val="1"/>
      </rPr>
      <t xml:space="preserve">' </t>
    </r>
    <r>
      <rPr>
        <sz val="9.5"/>
        <rFont val="Noto Sans CJK SC"/>
        <family val="2"/>
      </rPr>
      <t xml:space="preserve">반영</t>
    </r>
  </si>
  <si>
    <t xml:space="preserve">참여 인원 및 연락망 확인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</si>
  <si>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서버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운영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명 일정 확정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비상 연락망 공유</t>
    </r>
  </si>
  <si>
    <r>
      <rPr>
        <b val="true"/>
        <sz val="9.5"/>
        <rFont val="맑은 고딕"/>
        <family val="0"/>
        <charset val="1"/>
      </rPr>
      <t xml:space="preserve">QA </t>
    </r>
    <r>
      <rPr>
        <b val="true"/>
        <sz val="9.5"/>
        <rFont val="Noto Sans CJK SC"/>
        <family val="2"/>
      </rPr>
      <t xml:space="preserve">시나리오 확정</t>
    </r>
  </si>
  <si>
    <r>
      <rPr>
        <sz val="9.5"/>
        <rFont val="Noto Sans CJK SC"/>
        <family val="2"/>
      </rPr>
      <t xml:space="preserve">배포 후 검증 항목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0"/>
        <charset val="1"/>
      </rPr>
      <t xml:space="preserve">4) </t>
    </r>
    <r>
      <rPr>
        <sz val="9.5"/>
        <rFont val="Noto Sans CJK SC"/>
        <family val="2"/>
      </rPr>
      <t xml:space="preserve">최종 확정 및 담당 배정</t>
    </r>
  </si>
  <si>
    <r>
      <rPr>
        <b val="true"/>
        <sz val="15"/>
        <color rgb="FF21295C"/>
        <rFont val="Noto Sans CJK SC"/>
        <family val="2"/>
      </rPr>
      <t xml:space="preserve">롤백 절차 </t>
    </r>
    <r>
      <rPr>
        <b val="true"/>
        <sz val="15"/>
        <color rgb="FF21295C"/>
        <rFont val="맑은 고딕"/>
        <family val="0"/>
        <charset val="1"/>
      </rPr>
      <t xml:space="preserve">(Rollback Plan)</t>
    </r>
  </si>
  <si>
    <r>
      <rPr>
        <sz val="9"/>
        <color rgb="FF6B7785"/>
        <rFont val="Noto Sans CJK SC"/>
        <family val="2"/>
      </rPr>
      <t xml:space="preserve">롤백 결정 시한 </t>
    </r>
    <r>
      <rPr>
        <sz val="9"/>
        <color rgb="FF6B7785"/>
        <rFont val="맑은 고딕"/>
        <family val="0"/>
        <charset val="1"/>
      </rPr>
      <t xml:space="preserve">: </t>
    </r>
    <r>
      <rPr>
        <sz val="9"/>
        <color rgb="FF6B7785"/>
        <rFont val="Noto Sans CJK SC"/>
        <family val="2"/>
      </rPr>
      <t xml:space="preserve">작업 시작 </t>
    </r>
    <r>
      <rPr>
        <sz val="9"/>
        <color rgb="FF6B7785"/>
        <rFont val="맑은 고딕"/>
        <family val="0"/>
        <charset val="1"/>
      </rPr>
      <t xml:space="preserve">+ 2</t>
    </r>
    <r>
      <rPr>
        <sz val="9"/>
        <color rgb="FF6B7785"/>
        <rFont val="Noto Sans CJK SC"/>
        <family val="2"/>
      </rPr>
      <t xml:space="preserve">시간 </t>
    </r>
    <r>
      <rPr>
        <sz val="9"/>
        <color rgb="FF6B7785"/>
        <rFont val="맑은 고딕"/>
        <family val="0"/>
        <charset val="1"/>
      </rPr>
      <t xml:space="preserve">(</t>
    </r>
    <r>
      <rPr>
        <sz val="9"/>
        <color rgb="FF6B7785"/>
        <rFont val="Noto Sans CJK SC"/>
        <family val="2"/>
      </rPr>
      <t xml:space="preserve">완료 목표 시각</t>
    </r>
    <r>
      <rPr>
        <sz val="9"/>
        <color rgb="FF6B7785"/>
        <rFont val="맑은 고딕"/>
        <family val="0"/>
        <charset val="1"/>
      </rPr>
      <t xml:space="preserve">)    |    </t>
    </r>
    <r>
      <rPr>
        <sz val="9"/>
        <color rgb="FF6B7785"/>
        <rFont val="Noto Sans CJK SC"/>
        <family val="2"/>
      </rPr>
      <t xml:space="preserve">예상 소요 약 </t>
    </r>
    <r>
      <rPr>
        <sz val="9"/>
        <color rgb="FF6B7785"/>
        <rFont val="맑은 고딕"/>
        <family val="0"/>
        <charset val="1"/>
      </rPr>
      <t xml:space="preserve">30</t>
    </r>
    <r>
      <rPr>
        <sz val="9"/>
        <color rgb="FF6B7785"/>
        <rFont val="Noto Sans CJK SC"/>
        <family val="2"/>
      </rPr>
      <t xml:space="preserve">분 </t>
    </r>
    <r>
      <rPr>
        <sz val="9"/>
        <color rgb="FF6B7785"/>
        <rFont val="맑은 고딕"/>
        <family val="0"/>
        <charset val="1"/>
      </rPr>
      <t xml:space="preserve">(</t>
    </r>
    <r>
      <rPr>
        <sz val="9"/>
        <color rgb="FF6B7785"/>
        <rFont val="Noto Sans CJK SC"/>
        <family val="2"/>
      </rPr>
      <t xml:space="preserve">이중화 재구성 제외</t>
    </r>
    <r>
      <rPr>
        <sz val="9"/>
        <color rgb="FF6B7785"/>
        <rFont val="맑은 고딕"/>
        <family val="0"/>
        <charset val="1"/>
      </rPr>
      <t xml:space="preserve">)</t>
    </r>
  </si>
  <si>
    <t xml:space="preserve">롤백 판단 기준</t>
  </si>
  <si>
    <t xml:space="preserve">   ① 데이터베이스 마이그레이션 실패 또는 데이터 정합성 이상 발생</t>
  </si>
  <si>
    <r>
      <rPr>
        <sz val="9.5"/>
        <color rgb="FF44506B"/>
        <rFont val="Noto Sans CJK SC"/>
        <family val="2"/>
      </rPr>
      <t xml:space="preserve">   ② 로그인 </t>
    </r>
    <r>
      <rPr>
        <sz val="9.5"/>
        <color rgb="FF44506B"/>
        <rFont val="맑은 고딕"/>
        <family val="0"/>
        <charset val="1"/>
      </rPr>
      <t xml:space="preserve">· </t>
    </r>
    <r>
      <rPr>
        <sz val="9.5"/>
        <color rgb="FF44506B"/>
        <rFont val="Noto Sans CJK SC"/>
        <family val="2"/>
      </rPr>
      <t xml:space="preserve">회의록 생성 등 핵심 기능의 정상 동작 불가</t>
    </r>
  </si>
  <si>
    <r>
      <rPr>
        <sz val="9.5"/>
        <color rgb="FF44506B"/>
        <rFont val="Noto Sans CJK SC"/>
        <family val="2"/>
      </rPr>
      <t xml:space="preserve">   ③ 완료 목표 시각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작업 시작 </t>
    </r>
    <r>
      <rPr>
        <sz val="9.5"/>
        <color rgb="FF44506B"/>
        <rFont val="맑은 고딕"/>
        <family val="0"/>
        <charset val="1"/>
      </rPr>
      <t xml:space="preserve">+2</t>
    </r>
    <r>
      <rPr>
        <sz val="9.5"/>
        <color rgb="FF44506B"/>
        <rFont val="Noto Sans CJK SC"/>
        <family val="2"/>
      </rPr>
      <t xml:space="preserve">시간</t>
    </r>
    <r>
      <rPr>
        <sz val="9.5"/>
        <color rgb="FF44506B"/>
        <rFont val="맑은 고딕"/>
        <family val="0"/>
        <charset val="1"/>
      </rPr>
      <t xml:space="preserve">)</t>
    </r>
    <r>
      <rPr>
        <sz val="9.5"/>
        <color rgb="FF44506B"/>
        <rFont val="Noto Sans CJK SC"/>
        <family val="2"/>
      </rPr>
      <t xml:space="preserve">까지 서비스 정상화가 완료되지 않은 경우</t>
    </r>
  </si>
  <si>
    <t xml:space="preserve">   ④ 복구 불가능한 장애로 담당자가 롤백을 결정한 경우</t>
  </si>
  <si>
    <t xml:space="preserve">단계</t>
  </si>
  <si>
    <t xml:space="preserve">롤백 결정 및 공지</t>
  </si>
  <si>
    <r>
      <rPr>
        <sz val="9.5"/>
        <rFont val="Noto Sans CJK SC"/>
        <family val="2"/>
      </rPr>
      <t xml:space="preserve">담당자 협의 후 롤백 결정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관련 부서 공지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점검 안내 페이지 유지</t>
    </r>
  </si>
  <si>
    <r>
      <rPr>
        <b val="true"/>
        <sz val="9.5"/>
        <rFont val="Noto Sans CJK SC"/>
        <family val="2"/>
      </rPr>
      <t xml:space="preserve">앱 </t>
    </r>
    <r>
      <rPr>
        <b val="true"/>
        <sz val="9.5"/>
        <rFont val="맑은 고딕"/>
        <family val="0"/>
        <charset val="1"/>
      </rPr>
      <t xml:space="preserve">HMP </t>
    </r>
    <r>
      <rPr>
        <b val="true"/>
        <sz val="9.5"/>
        <rFont val="Noto Sans CJK SC"/>
        <family val="2"/>
      </rPr>
      <t xml:space="preserve">클로즈</t>
    </r>
  </si>
  <si>
    <r>
      <rPr>
        <sz val="9.5"/>
        <rFont val="맑은 고딕"/>
        <family val="0"/>
        <charset val="1"/>
      </rPr>
      <t xml:space="preserve">HMP </t>
    </r>
    <r>
      <rPr>
        <sz val="9.5"/>
        <rFont val="Noto Sans CJK SC"/>
        <family val="2"/>
      </rPr>
      <t xml:space="preserve">오픈 상태인 경우 즉시 클로즈하여 강제 업데이트 중단</t>
    </r>
  </si>
  <si>
    <t xml:space="preserve">신규 서비스 중지</t>
  </si>
  <si>
    <r>
      <rPr>
        <sz val="9.5"/>
        <rFont val="Noto Sans CJK SC"/>
        <family val="2"/>
      </rPr>
      <t xml:space="preserve">신규 버전 웹 프론트엔드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백엔드 </t>
    </r>
    <r>
      <rPr>
        <sz val="9.5"/>
        <rFont val="맑은 고딕"/>
        <family val="0"/>
        <charset val="1"/>
      </rPr>
      <t xml:space="preserve">5</t>
    </r>
    <r>
      <rPr>
        <sz val="9.5"/>
        <rFont val="Noto Sans CJK SC"/>
        <family val="2"/>
      </rPr>
      <t xml:space="preserve">종 컨테이너 전체 중지</t>
    </r>
  </si>
  <si>
    <r>
      <rPr>
        <b val="true"/>
        <sz val="9.5"/>
        <rFont val="Noto Sans CJK SC"/>
        <family val="2"/>
      </rPr>
      <t xml:space="preserve">기존 </t>
    </r>
    <r>
      <rPr>
        <b val="true"/>
        <sz val="9.5"/>
        <rFont val="맑은 고딕"/>
        <family val="0"/>
        <charset val="1"/>
      </rPr>
      <t xml:space="preserve">Master </t>
    </r>
    <r>
      <rPr>
        <b val="true"/>
        <sz val="9.5"/>
        <rFont val="Noto Sans CJK SC"/>
        <family val="2"/>
      </rPr>
      <t xml:space="preserve">보존</t>
    </r>
  </si>
  <si>
    <r>
      <rPr>
        <sz val="9.5"/>
        <rFont val="Noto Sans CJK SC"/>
        <family val="2"/>
      </rPr>
      <t xml:space="preserve">원인 분석을 위해 변경이 적용된 기존 </t>
    </r>
    <r>
      <rPr>
        <sz val="9.5"/>
        <rFont val="맑은 고딕"/>
        <family val="0"/>
        <charset val="1"/>
      </rPr>
      <t xml:space="preserve">Master </t>
    </r>
    <r>
      <rPr>
        <sz val="9.5"/>
        <rFont val="Noto Sans CJK SC"/>
        <family val="2"/>
      </rPr>
      <t xml:space="preserve">데이터 및 로그를 그대로 보존</t>
    </r>
  </si>
  <si>
    <r>
      <rPr>
        <b val="true"/>
        <sz val="9.5"/>
        <rFont val="맑은 고딕"/>
        <family val="0"/>
        <charset val="1"/>
      </rPr>
      <t xml:space="preserve">Slave → Master </t>
    </r>
    <r>
      <rPr>
        <b val="true"/>
        <sz val="9.5"/>
        <rFont val="Noto Sans CJK SC"/>
        <family val="2"/>
      </rPr>
      <t xml:space="preserve">승격</t>
    </r>
  </si>
  <si>
    <r>
      <rPr>
        <sz val="9.5"/>
        <rFont val="Noto Sans CJK SC"/>
        <family val="2"/>
      </rPr>
      <t xml:space="preserve">변경 이전 상태의 </t>
    </r>
    <r>
      <rPr>
        <sz val="9.5"/>
        <rFont val="맑은 고딕"/>
        <family val="0"/>
        <charset val="1"/>
      </rPr>
      <t xml:space="preserve">Slave </t>
    </r>
    <r>
      <rPr>
        <sz val="9.5"/>
        <rFont val="Noto Sans CJK SC"/>
        <family val="2"/>
      </rPr>
      <t xml:space="preserve">에서 </t>
    </r>
    <r>
      <rPr>
        <sz val="9.5"/>
        <rFont val="맑은 고딕"/>
        <family val="0"/>
        <charset val="1"/>
      </rPr>
      <t xml:space="preserve">read_only </t>
    </r>
    <r>
      <rPr>
        <sz val="9.5"/>
        <rFont val="Noto Sans CJK SC"/>
        <family val="2"/>
      </rPr>
      <t xml:space="preserve">해제 후 </t>
    </r>
    <r>
      <rPr>
        <sz val="9.5"/>
        <rFont val="맑은 고딕"/>
        <family val="0"/>
        <charset val="1"/>
      </rPr>
      <t xml:space="preserve">Master </t>
    </r>
    <r>
      <rPr>
        <sz val="9.5"/>
        <rFont val="Noto Sans CJK SC"/>
        <family val="2"/>
      </rPr>
      <t xml:space="preserve">로 승격</t>
    </r>
  </si>
  <si>
    <r>
      <rPr>
        <b val="true"/>
        <sz val="9.5"/>
        <rFont val="맑은 고딕"/>
        <family val="0"/>
        <charset val="1"/>
      </rPr>
      <t xml:space="preserve">DB </t>
    </r>
    <r>
      <rPr>
        <b val="true"/>
        <sz val="9.5"/>
        <rFont val="Noto Sans CJK SC"/>
        <family val="2"/>
      </rPr>
      <t xml:space="preserve">접속 정보 전환</t>
    </r>
  </si>
  <si>
    <r>
      <rPr>
        <sz val="9.5"/>
        <rFont val="Noto Sans CJK SC"/>
        <family val="2"/>
      </rPr>
      <t xml:space="preserve">애플리케이션</t>
    </r>
    <r>
      <rPr>
        <sz val="9.5"/>
        <rFont val="맑은 고딕"/>
        <family val="0"/>
        <charset val="1"/>
      </rPr>
      <t xml:space="preserve">(.env </t>
    </r>
    <r>
      <rPr>
        <sz val="9.5"/>
        <rFont val="Noto Sans CJK SC"/>
        <family val="2"/>
      </rPr>
      <t xml:space="preserve">또는 접속 설정</t>
    </r>
    <r>
      <rPr>
        <sz val="9.5"/>
        <rFont val="맑은 고딕"/>
        <family val="0"/>
        <charset val="1"/>
      </rPr>
      <t xml:space="preserve">)</t>
    </r>
    <r>
      <rPr>
        <sz val="9.5"/>
        <rFont val="Noto Sans CJK SC"/>
        <family val="2"/>
      </rPr>
      <t xml:space="preserve">의 </t>
    </r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접속 대상을 승격된 노드로 전환</t>
    </r>
  </si>
  <si>
    <t xml:space="preserve">이전 버전 기동</t>
  </si>
  <si>
    <r>
      <rPr>
        <sz val="9.5"/>
        <rFont val="Noto Sans CJK SC"/>
        <family val="2"/>
      </rPr>
      <t xml:space="preserve">기존 </t>
    </r>
    <r>
      <rPr>
        <sz val="9.5"/>
        <rFont val="맑은 고딕"/>
        <family val="0"/>
        <charset val="1"/>
      </rPr>
      <t xml:space="preserve">.env </t>
    </r>
    <r>
      <rPr>
        <sz val="9.5"/>
        <rFont val="Noto Sans CJK SC"/>
        <family val="2"/>
      </rPr>
      <t xml:space="preserve">복원 후 직전 버전 이미지로 백엔드 → 게이트웨이 → 프론트 순차 기동</t>
    </r>
  </si>
  <si>
    <t xml:space="preserve">핵심 기능 점검</t>
  </si>
  <si>
    <r>
      <rPr>
        <sz val="9.5"/>
        <rFont val="맑은 고딕"/>
        <family val="0"/>
        <charset val="1"/>
      </rPr>
      <t xml:space="preserve">SSO </t>
    </r>
    <r>
      <rPr>
        <sz val="9.5"/>
        <rFont val="Noto Sans CJK SC"/>
        <family val="2"/>
      </rPr>
      <t xml:space="preserve">로그인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회의록 조회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접속 등 핵심 기능 정상 동작 확인</t>
    </r>
  </si>
  <si>
    <t xml:space="preserve">서비스 정상화 및 보고</t>
  </si>
  <si>
    <r>
      <rPr>
        <sz val="9.5"/>
        <rFont val="Noto Sans CJK SC"/>
        <family val="2"/>
      </rPr>
      <t xml:space="preserve">점검 안내 페이지 해제 후 정상 서비스 전환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롤백 사유 및 결과 보고</t>
    </r>
  </si>
  <si>
    <t xml:space="preserve">■ 유의 사항</t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</si>
  <si>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운영 구조상 전체 덤프 백업은 수행하지 않습니다</t>
    </r>
    <r>
      <rPr>
        <sz val="9.5"/>
        <color rgb="FF44506B"/>
        <rFont val="맑은 고딕"/>
        <family val="0"/>
        <charset val="1"/>
      </rPr>
      <t xml:space="preserve">. </t>
    </r>
    <r>
      <rPr>
        <sz val="9.5"/>
        <color rgb="FF44506B"/>
        <rFont val="Noto Sans CJK SC"/>
        <family val="2"/>
      </rPr>
      <t xml:space="preserve">서비스 중지 단계에서 복제를 중단하므로 </t>
    </r>
    <r>
      <rPr>
        <sz val="9.5"/>
        <color rgb="FF44506B"/>
        <rFont val="맑은 고딕"/>
        <family val="0"/>
        <charset val="1"/>
      </rPr>
      <t xml:space="preserve">Slave DB </t>
    </r>
    <r>
      <rPr>
        <sz val="9.5"/>
        <color rgb="FF44506B"/>
        <rFont val="Noto Sans CJK SC"/>
        <family val="2"/>
      </rPr>
      <t xml:space="preserve">가 변경 이전 상태를 그대로 보존합니다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</si>
  <si>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기존 </t>
    </r>
    <r>
      <rPr>
        <sz val="9.5"/>
        <color rgb="FF44506B"/>
        <rFont val="맑은 고딕"/>
        <family val="0"/>
        <charset val="1"/>
      </rPr>
      <t xml:space="preserve">Master </t>
    </r>
    <r>
      <rPr>
        <sz val="9.5"/>
        <color rgb="FF44506B"/>
        <rFont val="Noto Sans CJK SC"/>
        <family val="2"/>
      </rPr>
      <t xml:space="preserve">는 변경이 적용된 상태이므로 승격하지 않습니다</t>
    </r>
    <r>
      <rPr>
        <sz val="9.5"/>
        <color rgb="FF44506B"/>
        <rFont val="맑은 고딕"/>
        <family val="0"/>
        <charset val="1"/>
      </rPr>
      <t xml:space="preserve">. </t>
    </r>
    <r>
      <rPr>
        <sz val="9.5"/>
        <color rgb="FF44506B"/>
        <rFont val="Noto Sans CJK SC"/>
        <family val="2"/>
      </rPr>
      <t xml:space="preserve">데이터베이스 이중화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복제</t>
    </r>
    <r>
      <rPr>
        <sz val="9.5"/>
        <color rgb="FF44506B"/>
        <rFont val="맑은 고딕"/>
        <family val="0"/>
        <charset val="1"/>
      </rPr>
      <t xml:space="preserve">) </t>
    </r>
    <r>
      <rPr>
        <sz val="9.5"/>
        <color rgb="FF44506B"/>
        <rFont val="Noto Sans CJK SC"/>
        <family val="2"/>
      </rPr>
      <t xml:space="preserve">재구성은 서비스 재개 후 별도 시간에 진행합니다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</si>
  <si>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롤백 착수 후에는 </t>
    </r>
    <r>
      <rPr>
        <sz val="9.5"/>
        <color rgb="FF44506B"/>
        <rFont val="맑은 고딕"/>
        <family val="0"/>
        <charset val="1"/>
      </rPr>
      <t xml:space="preserve">Slave </t>
    </r>
    <r>
      <rPr>
        <sz val="9.5"/>
        <color rgb="FF44506B"/>
        <rFont val="Noto Sans CJK SC"/>
        <family val="2"/>
      </rPr>
      <t xml:space="preserve">데이터를 임의로 변경하지 마십시오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</si>
  <si>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앱은 </t>
    </r>
    <r>
      <rPr>
        <sz val="9.5"/>
        <color rgb="FF44506B"/>
        <rFont val="맑은 고딕"/>
        <family val="0"/>
        <charset val="1"/>
      </rPr>
      <t xml:space="preserve">HMP </t>
    </r>
    <r>
      <rPr>
        <sz val="9.5"/>
        <color rgb="FF44506B"/>
        <rFont val="Noto Sans CJK SC"/>
        <family val="2"/>
      </rPr>
      <t xml:space="preserve">클로즈만으로 신버전 배포를 즉시 차단할 수 있으므로 롤백 초기에 우선 처리합니다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</si>
  <si>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b val="true"/>
        <sz val="15"/>
        <color rgb="FF21295C"/>
        <rFont val="맑은 고딕"/>
        <family val="0"/>
        <charset val="1"/>
      </rPr>
      <t xml:space="preserve">2</t>
    </r>
    <r>
      <rPr>
        <b val="true"/>
        <sz val="15"/>
        <color rgb="FF21295C"/>
        <rFont val="Noto Sans CJK SC"/>
        <family val="2"/>
      </rPr>
      <t xml:space="preserve">차 배포 후 서비스 검증 </t>
    </r>
    <r>
      <rPr>
        <b val="true"/>
        <sz val="15"/>
        <color rgb="FF21295C"/>
        <rFont val="맑은 고딕"/>
        <family val="0"/>
        <charset val="1"/>
      </rPr>
      <t xml:space="preserve">(QA) </t>
    </r>
    <r>
      <rPr>
        <b val="true"/>
        <sz val="15"/>
        <color rgb="FF21295C"/>
        <rFont val="Noto Sans CJK SC"/>
        <family val="2"/>
      </rPr>
      <t xml:space="preserve">체크리스트</t>
    </r>
  </si>
  <si>
    <r>
      <rPr>
        <sz val="9"/>
        <color rgb="FF6B7785"/>
        <rFont val="Noto Sans CJK SC"/>
        <family val="2"/>
      </rPr>
      <t xml:space="preserve">웹 </t>
    </r>
    <r>
      <rPr>
        <sz val="9"/>
        <color rgb="FF6B7785"/>
        <rFont val="맑은 고딕"/>
        <family val="0"/>
        <charset val="1"/>
      </rPr>
      <t xml:space="preserve">UI </t>
    </r>
    <r>
      <rPr>
        <sz val="9"/>
        <color rgb="FF6B7785"/>
        <rFont val="Noto Sans CJK SC"/>
        <family val="2"/>
      </rPr>
      <t xml:space="preserve">검증</t>
    </r>
    <r>
      <rPr>
        <sz val="9"/>
        <color rgb="FF6B7785"/>
        <rFont val="맑은 고딕"/>
        <family val="0"/>
        <charset val="1"/>
      </rPr>
      <t xml:space="preserve">(60</t>
    </r>
    <r>
      <rPr>
        <sz val="9"/>
        <color rgb="FF6B7785"/>
        <rFont val="Noto Sans CJK SC"/>
        <family val="2"/>
      </rPr>
      <t xml:space="preserve">분</t>
    </r>
    <r>
      <rPr>
        <sz val="9"/>
        <color rgb="FF6B7785"/>
        <rFont val="맑은 고딕"/>
        <family val="0"/>
        <charset val="1"/>
      </rPr>
      <t xml:space="preserve">) → </t>
    </r>
    <r>
      <rPr>
        <sz val="9"/>
        <color rgb="FF6B7785"/>
        <rFont val="Noto Sans CJK SC"/>
        <family val="2"/>
      </rPr>
      <t xml:space="preserve">앱 검증</t>
    </r>
    <r>
      <rPr>
        <sz val="9"/>
        <color rgb="FF6B7785"/>
        <rFont val="맑은 고딕"/>
        <family val="0"/>
        <charset val="1"/>
      </rPr>
      <t xml:space="preserve">(20</t>
    </r>
    <r>
      <rPr>
        <sz val="9"/>
        <color rgb="FF6B7785"/>
        <rFont val="Noto Sans CJK SC"/>
        <family val="2"/>
      </rPr>
      <t xml:space="preserve">분</t>
    </r>
    <r>
      <rPr>
        <sz val="9"/>
        <color rgb="FF6B7785"/>
        <rFont val="맑은 고딕"/>
        <family val="0"/>
        <charset val="1"/>
      </rPr>
      <t xml:space="preserve">) → Go/No-Go </t>
    </r>
    <r>
      <rPr>
        <sz val="9"/>
        <color rgb="FF6B7785"/>
        <rFont val="Noto Sans CJK SC"/>
        <family val="2"/>
      </rPr>
      <t xml:space="preserve">판단 → 앱 운영 배포 순으로 진행합니다</t>
    </r>
    <r>
      <rPr>
        <sz val="9"/>
        <color rgb="FF6B7785"/>
        <rFont val="맑은 고딕"/>
        <family val="0"/>
        <charset val="1"/>
      </rPr>
      <t xml:space="preserve">.</t>
    </r>
  </si>
  <si>
    <t xml:space="preserve">검증 항목</t>
  </si>
  <si>
    <t xml:space="preserve">검증 방법</t>
  </si>
  <si>
    <t xml:space="preserve">기대 결과</t>
  </si>
  <si>
    <t xml:space="preserve">결과</t>
  </si>
  <si>
    <t xml:space="preserve">확인 시각</t>
  </si>
  <si>
    <r>
      <rPr>
        <sz val="9.5"/>
        <rFont val="Noto Sans CJK SC"/>
        <family val="2"/>
      </rPr>
      <t xml:space="preserve">공통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인증</t>
    </r>
  </si>
  <si>
    <r>
      <rPr>
        <b val="true"/>
        <sz val="9.5"/>
        <rFont val="맑은 고딕"/>
        <family val="0"/>
        <charset val="1"/>
      </rPr>
      <t xml:space="preserve">SSO </t>
    </r>
    <r>
      <rPr>
        <b val="true"/>
        <sz val="9.5"/>
        <rFont val="Noto Sans CJK SC"/>
        <family val="2"/>
      </rPr>
      <t xml:space="preserve">로그인</t>
    </r>
  </si>
  <si>
    <r>
      <rPr>
        <sz val="9.5"/>
        <rFont val="Noto Sans CJK SC"/>
        <family val="2"/>
      </rPr>
      <t xml:space="preserve">운영 계정으로 </t>
    </r>
    <r>
      <rPr>
        <sz val="9.5"/>
        <rFont val="맑은 고딕"/>
        <family val="0"/>
        <charset val="1"/>
      </rPr>
      <t xml:space="preserve">SSO </t>
    </r>
    <r>
      <rPr>
        <sz val="9.5"/>
        <rFont val="Noto Sans CJK SC"/>
        <family val="2"/>
      </rPr>
      <t xml:space="preserve">로그인 수행</t>
    </r>
  </si>
  <si>
    <t xml:space="preserve">정상 로그인 및 메인 화면 진입</t>
  </si>
  <si>
    <t xml:space="preserve">전체 메뉴 점검</t>
  </si>
  <si>
    <t xml:space="preserve">회의록 사이트 전 메뉴 순차 클릭</t>
  </si>
  <si>
    <t xml:space="preserve">오류 페이지 및 콘솔 오류 없음</t>
  </si>
  <si>
    <t xml:space="preserve">기존 기능</t>
  </si>
  <si>
    <t xml:space="preserve">기존 회의록 조회</t>
  </si>
  <si>
    <t xml:space="preserve">기존 회의록 목록 조회 및 상세 진입</t>
  </si>
  <si>
    <r>
      <rPr>
        <sz val="9.5"/>
        <rFont val="Noto Sans CJK SC"/>
        <family val="2"/>
      </rPr>
      <t xml:space="preserve">기존 데이터 정상 조회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마이그레이션 검증</t>
    </r>
    <r>
      <rPr>
        <sz val="9.5"/>
        <rFont val="맑은 고딕"/>
        <family val="0"/>
        <charset val="1"/>
      </rPr>
      <t xml:space="preserve">)</t>
    </r>
  </si>
  <si>
    <t xml:space="preserve">회의록 생성</t>
  </si>
  <si>
    <t xml:space="preserve">신규 회의록 생성 및 저장</t>
  </si>
  <si>
    <t xml:space="preserve">정상 생성 및 목록 노출</t>
  </si>
  <si>
    <r>
      <rPr>
        <b val="true"/>
        <sz val="9.5"/>
        <rFont val="Noto Sans CJK SC"/>
        <family val="2"/>
      </rPr>
      <t xml:space="preserve">템플릿 </t>
    </r>
    <r>
      <rPr>
        <b val="true"/>
        <sz val="9.5"/>
        <rFont val="맑은 고딕"/>
        <family val="0"/>
        <charset val="1"/>
      </rPr>
      <t xml:space="preserve">· </t>
    </r>
    <r>
      <rPr>
        <b val="true"/>
        <sz val="9.5"/>
        <rFont val="Noto Sans CJK SC"/>
        <family val="2"/>
      </rPr>
      <t xml:space="preserve">보관 폴더</t>
    </r>
  </si>
  <si>
    <r>
      <rPr>
        <sz val="9.5"/>
        <rFont val="Noto Sans CJK SC"/>
        <family val="2"/>
      </rPr>
      <t xml:space="preserve">템플릿 적용 및 폴더 생성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이동</t>
    </r>
  </si>
  <si>
    <t xml:space="preserve">기존 기능 정상 동작</t>
  </si>
  <si>
    <t xml:space="preserve">관리자 사이트</t>
  </si>
  <si>
    <t xml:space="preserve">관리 사이트 주요 관리 기능 확인</t>
  </si>
  <si>
    <t xml:space="preserve">주요 기능 정상 동작</t>
  </si>
  <si>
    <t xml:space="preserve">키워드 부스팅</t>
  </si>
  <si>
    <t xml:space="preserve">메뉴 진입</t>
  </si>
  <si>
    <r>
      <rPr>
        <sz val="9.5"/>
        <rFont val="Noto Sans CJK SC"/>
        <family val="2"/>
      </rPr>
      <t xml:space="preserve">개인 환경 설정 →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키워드 부스팅</t>
    </r>
    <r>
      <rPr>
        <sz val="9.5"/>
        <rFont val="맑은 고딕"/>
        <family val="0"/>
        <charset val="1"/>
      </rPr>
      <t xml:space="preserve">] </t>
    </r>
    <r>
      <rPr>
        <sz val="9.5"/>
        <rFont val="Noto Sans CJK SC"/>
        <family val="2"/>
      </rPr>
      <t xml:space="preserve">진입</t>
    </r>
  </si>
  <si>
    <t xml:space="preserve">키워드 부스팅 화면 정상 노출</t>
  </si>
  <si>
    <t xml:space="preserve">개별 등록</t>
  </si>
  <si>
    <r>
      <rPr>
        <sz val="9.5"/>
        <rFont val="Noto Sans CJK SC"/>
        <family val="2"/>
      </rPr>
      <t xml:space="preserve">키워드 입력 후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신규 등록</t>
    </r>
    <r>
      <rPr>
        <sz val="9.5"/>
        <rFont val="맑은 고딕"/>
        <family val="0"/>
        <charset val="1"/>
      </rPr>
      <t xml:space="preserve">] </t>
    </r>
    <r>
      <rPr>
        <sz val="9.5"/>
        <rFont val="Noto Sans CJK SC"/>
        <family val="2"/>
      </rPr>
      <t xml:space="preserve">클릭</t>
    </r>
  </si>
  <si>
    <t xml:space="preserve">목록에 키워드가 칩 형태로 추가됨</t>
  </si>
  <si>
    <t xml:space="preserve">개별 삭제</t>
  </si>
  <si>
    <r>
      <rPr>
        <sz val="9.5"/>
        <rFont val="Noto Sans CJK SC"/>
        <family val="2"/>
      </rPr>
      <t xml:space="preserve">등록된 키워드의 </t>
    </r>
    <r>
      <rPr>
        <sz val="9.5"/>
        <rFont val="맑은 고딕"/>
        <family val="0"/>
        <charset val="1"/>
      </rPr>
      <t xml:space="preserve">X </t>
    </r>
    <r>
      <rPr>
        <sz val="9.5"/>
        <rFont val="Noto Sans CJK SC"/>
        <family val="2"/>
      </rPr>
      <t xml:space="preserve">버튼 클릭</t>
    </r>
  </si>
  <si>
    <t xml:space="preserve">해당 키워드만 삭제되고 목록 갱신</t>
  </si>
  <si>
    <t xml:space="preserve">양식 다운로드</t>
  </si>
  <si>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일괄 등록</t>
    </r>
    <r>
      <rPr>
        <sz val="9.5"/>
        <rFont val="맑은 고딕"/>
        <family val="0"/>
        <charset val="1"/>
      </rPr>
      <t xml:space="preserve">] → </t>
    </r>
    <r>
      <rPr>
        <sz val="9.5"/>
        <rFont val="Noto Sans CJK SC"/>
        <family val="2"/>
      </rPr>
      <t xml:space="preserve">양식 파일 다운로드</t>
    </r>
  </si>
  <si>
    <r>
      <rPr>
        <sz val="9.5"/>
        <rFont val="Noto Sans CJK SC"/>
        <family val="2"/>
      </rPr>
      <t xml:space="preserve">등록 양식</t>
    </r>
    <r>
      <rPr>
        <sz val="9.5"/>
        <rFont val="맑은 고딕"/>
        <family val="0"/>
        <charset val="1"/>
      </rPr>
      <t xml:space="preserve">(Excel) </t>
    </r>
    <r>
      <rPr>
        <sz val="9.5"/>
        <rFont val="Noto Sans CJK SC"/>
        <family val="2"/>
      </rPr>
      <t xml:space="preserve">정상 다운로드</t>
    </r>
  </si>
  <si>
    <t xml:space="preserve">일괄 등록</t>
  </si>
  <si>
    <r>
      <rPr>
        <sz val="9.5"/>
        <rFont val="Noto Sans CJK SC"/>
        <family val="2"/>
      </rPr>
      <t xml:space="preserve">양식에 키워드 입력 후 파일 업로드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등록</t>
    </r>
  </si>
  <si>
    <t xml:space="preserve">입력한 키워드가 일괄 등록됨</t>
  </si>
  <si>
    <t xml:space="preserve">등록 개수 제한</t>
  </si>
  <si>
    <r>
      <rPr>
        <sz val="9.5"/>
        <rFont val="Noto Sans CJK SC"/>
        <family val="2"/>
      </rPr>
      <t xml:space="preserve">등록 수 표시</t>
    </r>
    <r>
      <rPr>
        <sz val="9.5"/>
        <rFont val="맑은 고딕"/>
        <family val="0"/>
        <charset val="1"/>
      </rPr>
      <t xml:space="preserve">(n/100) </t>
    </r>
    <r>
      <rPr>
        <sz val="9.5"/>
        <rFont val="Noto Sans CJK SC"/>
        <family val="2"/>
      </rPr>
      <t xml:space="preserve">확인 및 초과 등록 시도</t>
    </r>
  </si>
  <si>
    <r>
      <rPr>
        <sz val="9.5"/>
        <rFont val="맑은 고딕"/>
        <family val="0"/>
        <charset val="1"/>
      </rPr>
      <t xml:space="preserve">100</t>
    </r>
    <r>
      <rPr>
        <sz val="9.5"/>
        <rFont val="Noto Sans CJK SC"/>
        <family val="2"/>
      </rPr>
      <t xml:space="preserve">개 제한 및 안내 정상 동작</t>
    </r>
  </si>
  <si>
    <t xml:space="preserve">인식 반영 확인</t>
  </si>
  <si>
    <t xml:space="preserve">등록 키워드가 포함된 음성으로 회의록 생성</t>
  </si>
  <si>
    <t xml:space="preserve">해당 용어가 정확하게 인식됨</t>
  </si>
  <si>
    <t xml:space="preserve">다국어 번역</t>
  </si>
  <si>
    <t xml:space="preserve">번역 메뉴 노출</t>
  </si>
  <si>
    <r>
      <rPr>
        <sz val="9.5"/>
        <rFont val="Noto Sans CJK SC"/>
        <family val="2"/>
      </rPr>
      <t xml:space="preserve">회의록 상세 화면 상단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번역</t>
    </r>
    <r>
      <rPr>
        <sz val="9.5"/>
        <rFont val="맑은 고딕"/>
        <family val="0"/>
        <charset val="1"/>
      </rPr>
      <t xml:space="preserve">] </t>
    </r>
    <r>
      <rPr>
        <sz val="9.5"/>
        <rFont val="Noto Sans CJK SC"/>
        <family val="2"/>
      </rPr>
      <t xml:space="preserve">버튼 확인</t>
    </r>
  </si>
  <si>
    <t xml:space="preserve">번역 버튼 정상 노출</t>
  </si>
  <si>
    <t xml:space="preserve">언어 선택</t>
  </si>
  <si>
    <r>
      <rPr>
        <sz val="9.5"/>
        <rFont val="Noto Sans CJK SC"/>
        <family val="2"/>
      </rPr>
      <t xml:space="preserve">번역 언어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영어 등</t>
    </r>
    <r>
      <rPr>
        <sz val="9.5"/>
        <rFont val="맑은 고딕"/>
        <family val="0"/>
        <charset val="1"/>
      </rPr>
      <t xml:space="preserve">) </t>
    </r>
    <r>
      <rPr>
        <sz val="9.5"/>
        <rFont val="Noto Sans CJK SC"/>
        <family val="2"/>
      </rPr>
      <t xml:space="preserve">선택</t>
    </r>
  </si>
  <si>
    <t xml:space="preserve">선택한 언어로 번역 수행</t>
  </si>
  <si>
    <t xml:space="preserve">번역 항목 확인</t>
  </si>
  <si>
    <r>
      <rPr>
        <sz val="9.5"/>
        <rFont val="Noto Sans CJK SC"/>
        <family val="2"/>
      </rPr>
      <t xml:space="preserve">참석자명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키워드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상세 요약 표시 확인</t>
    </r>
  </si>
  <si>
    <t xml:space="preserve">세 항목 모두 선택 언어로 표시</t>
  </si>
  <si>
    <t xml:space="preserve">읽기 전용 확인</t>
  </si>
  <si>
    <t xml:space="preserve">번역 상태에서 편집 시도</t>
  </si>
  <si>
    <t xml:space="preserve">번역본은 읽기 전용으로 동작</t>
  </si>
  <si>
    <t xml:space="preserve">원문 복귀</t>
  </si>
  <si>
    <r>
      <rPr>
        <sz val="9.5"/>
        <rFont val="Noto Sans CJK SC"/>
        <family val="2"/>
      </rPr>
      <t xml:space="preserve">원문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한국어</t>
    </r>
    <r>
      <rPr>
        <sz val="9.5"/>
        <rFont val="맑은 고딕"/>
        <family val="0"/>
        <charset val="1"/>
      </rPr>
      <t xml:space="preserve">)</t>
    </r>
    <r>
      <rPr>
        <sz val="9.5"/>
        <rFont val="Noto Sans CJK SC"/>
        <family val="2"/>
      </rPr>
      <t xml:space="preserve">으로 전환</t>
    </r>
  </si>
  <si>
    <t xml:space="preserve">원문 정상 복귀</t>
  </si>
  <si>
    <t xml:space="preserve">음성 기록 유지</t>
  </si>
  <si>
    <t xml:space="preserve">번역 상태에서 음성 기록 영역 확인</t>
  </si>
  <si>
    <t xml:space="preserve">원문 대화 내용은 그대로 유지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</si>
  <si>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- </t>
    </r>
    <r>
      <rPr>
        <sz val="9.5"/>
        <rFont val="Noto Sans CJK SC"/>
        <family val="2"/>
      </rPr>
      <t xml:space="preserve">일반 녹음</t>
    </r>
  </si>
  <si>
    <t xml:space="preserve">앱 업데이트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</si>
  <si>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1.4.0 </t>
    </r>
    <r>
      <rPr>
        <sz val="9.5"/>
        <rFont val="Noto Sans CJK SC"/>
        <family val="2"/>
      </rPr>
      <t xml:space="preserve">설치 및 실행</t>
    </r>
  </si>
  <si>
    <t xml:space="preserve">정상 설치 및 로그인</t>
  </si>
  <si>
    <t xml:space="preserve">녹음 수행</t>
  </si>
  <si>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녹음</t>
    </r>
    <r>
      <rPr>
        <sz val="9.5"/>
        <rFont val="맑은 고딕"/>
        <family val="0"/>
        <charset val="1"/>
      </rPr>
      <t xml:space="preserve">] → </t>
    </r>
    <r>
      <rPr>
        <sz val="9.5"/>
        <rFont val="Noto Sans CJK SC"/>
        <family val="2"/>
      </rPr>
      <t xml:space="preserve">시작 확인 → 녹음 →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종료</t>
    </r>
    <r>
      <rPr>
        <sz val="9.5"/>
        <rFont val="맑은 고딕"/>
        <family val="0"/>
        <charset val="1"/>
      </rPr>
      <t xml:space="preserve">]</t>
    </r>
  </si>
  <si>
    <t xml:space="preserve">녹음 정상 동작 및 종료</t>
  </si>
  <si>
    <t xml:space="preserve">옵션 선택</t>
  </si>
  <si>
    <r>
      <rPr>
        <sz val="9.5"/>
        <rFont val="Noto Sans CJK SC"/>
        <family val="2"/>
      </rPr>
      <t xml:space="preserve">참석자 수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언어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템플릿 선택 후 확인</t>
    </r>
  </si>
  <si>
    <t xml:space="preserve">선택값이 회의록에 반영됨</t>
  </si>
  <si>
    <r>
      <rPr>
        <b val="true"/>
        <sz val="9.5"/>
        <rFont val="Noto Sans CJK SC"/>
        <family val="2"/>
      </rPr>
      <t xml:space="preserve">업로드 </t>
    </r>
    <r>
      <rPr>
        <b val="true"/>
        <sz val="9.5"/>
        <rFont val="맑은 고딕"/>
        <family val="0"/>
        <charset val="1"/>
      </rPr>
      <t xml:space="preserve">· </t>
    </r>
    <r>
      <rPr>
        <b val="true"/>
        <sz val="9.5"/>
        <rFont val="Noto Sans CJK SC"/>
        <family val="2"/>
      </rPr>
      <t xml:space="preserve">생성</t>
    </r>
  </si>
  <si>
    <t xml:space="preserve">서버 업로드 진행 및 회의록 생성 확인</t>
  </si>
  <si>
    <t xml:space="preserve">업로드 완료 후 회의록 생성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</si>
  <si>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- </t>
    </r>
    <r>
      <rPr>
        <sz val="9.5"/>
        <rFont val="Noto Sans CJK SC"/>
        <family val="2"/>
      </rPr>
      <t xml:space="preserve">그룹 녹음</t>
    </r>
  </si>
  <si>
    <t xml:space="preserve">그룹 생성</t>
  </si>
  <si>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그룹 녹음</t>
    </r>
    <r>
      <rPr>
        <sz val="9.5"/>
        <rFont val="맑은 고딕"/>
        <family val="0"/>
        <charset val="1"/>
      </rPr>
      <t xml:space="preserve">] → [</t>
    </r>
    <r>
      <rPr>
        <sz val="9.5"/>
        <rFont val="Noto Sans CJK SC"/>
        <family val="2"/>
      </rPr>
      <t xml:space="preserve">그룹 생성</t>
    </r>
    <r>
      <rPr>
        <sz val="9.5"/>
        <rFont val="맑은 고딕"/>
        <family val="0"/>
        <charset val="1"/>
      </rPr>
      <t xml:space="preserve">]</t>
    </r>
  </si>
  <si>
    <r>
      <rPr>
        <sz val="9.5"/>
        <rFont val="맑은 고딕"/>
        <family val="0"/>
        <charset val="1"/>
      </rPr>
      <t xml:space="preserve">4</t>
    </r>
    <r>
      <rPr>
        <sz val="9.5"/>
        <rFont val="Noto Sans CJK SC"/>
        <family val="2"/>
      </rPr>
      <t xml:space="preserve">자리 그룹 코드 발급 및 표시</t>
    </r>
  </si>
  <si>
    <t xml:space="preserve">코드 복사</t>
  </si>
  <si>
    <t xml:space="preserve">그룹 코드 복사 기능 확인</t>
  </si>
  <si>
    <t xml:space="preserve">코드 정상 복사</t>
  </si>
  <si>
    <t xml:space="preserve">그룹 참여</t>
  </si>
  <si>
    <r>
      <rPr>
        <sz val="9.5"/>
        <rFont val="Noto Sans CJK SC"/>
        <family val="2"/>
      </rPr>
      <t xml:space="preserve">참여자 단말에서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그룹 참여</t>
    </r>
    <r>
      <rPr>
        <sz val="9.5"/>
        <rFont val="맑은 고딕"/>
        <family val="0"/>
        <charset val="1"/>
      </rPr>
      <t xml:space="preserve">] → </t>
    </r>
    <r>
      <rPr>
        <sz val="9.5"/>
        <rFont val="Noto Sans CJK SC"/>
        <family val="2"/>
      </rPr>
      <t xml:space="preserve">코드 입력</t>
    </r>
  </si>
  <si>
    <t xml:space="preserve">참여 완료 및 참여자 수 증가 확인</t>
  </si>
  <si>
    <t xml:space="preserve">동시 녹음 시작</t>
  </si>
  <si>
    <r>
      <rPr>
        <sz val="9.5"/>
        <rFont val="Noto Sans CJK SC"/>
        <family val="2"/>
      </rPr>
      <t xml:space="preserve">진행자가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녹음 시작</t>
    </r>
    <r>
      <rPr>
        <sz val="9.5"/>
        <rFont val="맑은 고딕"/>
        <family val="0"/>
        <charset val="1"/>
      </rPr>
      <t xml:space="preserve">] </t>
    </r>
    <r>
      <rPr>
        <sz val="9.5"/>
        <rFont val="Noto Sans CJK SC"/>
        <family val="2"/>
      </rPr>
      <t xml:space="preserve">실행</t>
    </r>
  </si>
  <si>
    <t xml:space="preserve">참여자 단말에서 자동으로 녹음 시작</t>
  </si>
  <si>
    <t xml:space="preserve">참여자 화면 확인</t>
  </si>
  <si>
    <t xml:space="preserve">참여자 화면의 종료 버튼 유무 확인</t>
  </si>
  <si>
    <r>
      <rPr>
        <sz val="9.5"/>
        <rFont val="Noto Sans CJK SC"/>
        <family val="2"/>
      </rPr>
      <t xml:space="preserve">참여자 화면에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종료</t>
    </r>
    <r>
      <rPr>
        <sz val="9.5"/>
        <rFont val="맑은 고딕"/>
        <family val="0"/>
        <charset val="1"/>
      </rPr>
      <t xml:space="preserve">] </t>
    </r>
    <r>
      <rPr>
        <sz val="9.5"/>
        <rFont val="Noto Sans CJK SC"/>
        <family val="2"/>
      </rPr>
      <t xml:space="preserve">버튼 미노출</t>
    </r>
  </si>
  <si>
    <t xml:space="preserve">녹음 종료</t>
  </si>
  <si>
    <t xml:space="preserve">진행자가 녹음 종료 후 옵션 선택</t>
  </si>
  <si>
    <t xml:space="preserve">전체 참여자의 녹음이 함께 종료됨</t>
  </si>
  <si>
    <t xml:space="preserve">업로드 현황</t>
  </si>
  <si>
    <t xml:space="preserve">참가자별 업로드 현황 화면 확인</t>
  </si>
  <si>
    <t xml:space="preserve">참가자별 업로드 완료 표시</t>
  </si>
  <si>
    <t xml:space="preserve">회의록 병합</t>
  </si>
  <si>
    <t xml:space="preserve">생성된 회의록 확인</t>
  </si>
  <si>
    <t xml:space="preserve">참여자 녹음이 하나의 회의록으로 병합</t>
  </si>
  <si>
    <t xml:space="preserve">화자 분리 확인</t>
  </si>
  <si>
    <t xml:space="preserve">웹에서 병합된 회의록의 음성 기록 확인</t>
  </si>
  <si>
    <t xml:space="preserve">참여자별 발화가 구분되어 표시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</si>
  <si>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- </t>
    </r>
    <r>
      <rPr>
        <sz val="9.5"/>
        <rFont val="Noto Sans CJK SC"/>
        <family val="2"/>
      </rPr>
      <t xml:space="preserve">공통</t>
    </r>
  </si>
  <si>
    <t xml:space="preserve">알림 메시지</t>
  </si>
  <si>
    <t xml:space="preserve">회의록 생성 완료 알림 수신 확인</t>
  </si>
  <si>
    <t xml:space="preserve">알림 메시지 정상 수신</t>
  </si>
  <si>
    <t xml:space="preserve">모니터링</t>
  </si>
  <si>
    <t xml:space="preserve">서비스 가동 상태</t>
  </si>
  <si>
    <r>
      <rPr>
        <sz val="9.5"/>
        <rFont val="맑은 고딕"/>
        <family val="0"/>
        <charset val="1"/>
      </rPr>
      <t xml:space="preserve">Uptime Kuma </t>
    </r>
    <r>
      <rPr>
        <sz val="9.5"/>
        <rFont val="Noto Sans CJK SC"/>
        <family val="2"/>
      </rPr>
      <t xml:space="preserve">에서 전체 감시 항목 확인</t>
    </r>
  </si>
  <si>
    <t xml:space="preserve">모든 서비스 정상 응답</t>
  </si>
  <si>
    <t xml:space="preserve">컨테이너 로그</t>
  </si>
  <si>
    <r>
      <rPr>
        <sz val="9.5"/>
        <rFont val="맑은 고딕"/>
        <family val="0"/>
        <charset val="1"/>
      </rPr>
      <t xml:space="preserve">Dozzle </t>
    </r>
    <r>
      <rPr>
        <sz val="9.5"/>
        <rFont val="Noto Sans CJK SC"/>
        <family val="2"/>
      </rPr>
      <t xml:space="preserve">에서 전체 컨테이너 로그 확인</t>
    </r>
  </si>
  <si>
    <r>
      <rPr>
        <sz val="9.5"/>
        <rFont val="맑은 고딕"/>
        <family val="0"/>
        <charset val="1"/>
      </rPr>
      <t xml:space="preserve">ERROR </t>
    </r>
    <r>
      <rPr>
        <sz val="9.5"/>
        <rFont val="Noto Sans CJK SC"/>
        <family val="2"/>
      </rPr>
      <t xml:space="preserve">레벨 로그 없음</t>
    </r>
  </si>
  <si>
    <t xml:space="preserve">자원 사용 지표</t>
  </si>
  <si>
    <r>
      <rPr>
        <sz val="9.5"/>
        <rFont val="맑은 고딕"/>
        <family val="0"/>
        <charset val="1"/>
      </rPr>
      <t xml:space="preserve">Grafana </t>
    </r>
    <r>
      <rPr>
        <sz val="9.5"/>
        <rFont val="Noto Sans CJK SC"/>
        <family val="2"/>
      </rPr>
      <t xml:space="preserve">에서 </t>
    </r>
    <r>
      <rPr>
        <sz val="9.5"/>
        <rFont val="맑은 고딕"/>
        <family val="0"/>
        <charset val="1"/>
      </rPr>
      <t xml:space="preserve">CPU · </t>
    </r>
    <r>
      <rPr>
        <sz val="9.5"/>
        <rFont val="Noto Sans CJK SC"/>
        <family val="2"/>
      </rPr>
      <t xml:space="preserve">메모리 추이 확인</t>
    </r>
  </si>
  <si>
    <t xml:space="preserve">배포 전 대비 이상 변동 없음</t>
  </si>
  <si>
    <r>
      <rPr>
        <b val="true"/>
        <sz val="9.5"/>
        <rFont val="맑은 고딕"/>
        <family val="0"/>
        <charset val="1"/>
      </rPr>
      <t xml:space="preserve">DB </t>
    </r>
    <r>
      <rPr>
        <b val="true"/>
        <sz val="9.5"/>
        <rFont val="Noto Sans CJK SC"/>
        <family val="2"/>
      </rPr>
      <t xml:space="preserve">복제 상태</t>
    </r>
  </si>
  <si>
    <r>
      <rPr>
        <sz val="9.5"/>
        <rFont val="맑은 고딕"/>
        <family val="0"/>
        <charset val="1"/>
      </rPr>
      <t xml:space="preserve">Slave </t>
    </r>
    <r>
      <rPr>
        <sz val="9.5"/>
        <rFont val="Noto Sans CJK SC"/>
        <family val="2"/>
      </rPr>
      <t xml:space="preserve">복제 상태 및 지연 확인</t>
    </r>
  </si>
  <si>
    <r>
      <rPr>
        <sz val="9.5"/>
        <rFont val="Noto Sans CJK SC"/>
        <family val="2"/>
      </rPr>
      <t xml:space="preserve">복제 정상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지연 </t>
    </r>
    <r>
      <rPr>
        <sz val="9.5"/>
        <rFont val="맑은 고딕"/>
        <family val="0"/>
        <charset val="1"/>
      </rPr>
      <t xml:space="preserve">0</t>
    </r>
  </si>
  <si>
    <t xml:space="preserve">정상 항목</t>
  </si>
  <si>
    <t xml:space="preserve">배포 대상 서비스 목록 및 기동 순서</t>
  </si>
  <si>
    <r>
      <rPr>
        <sz val="9"/>
        <color rgb="FF6B7785"/>
        <rFont val="Noto Sans CJK SC"/>
        <family val="2"/>
      </rPr>
      <t xml:space="preserve">노란색 셀</t>
    </r>
    <r>
      <rPr>
        <sz val="9"/>
        <color rgb="FF6B7785"/>
        <rFont val="맑은 고딕"/>
        <family val="0"/>
        <charset val="1"/>
      </rPr>
      <t xml:space="preserve">(</t>
    </r>
    <r>
      <rPr>
        <sz val="9"/>
        <color rgb="FF6B7785"/>
        <rFont val="Noto Sans CJK SC"/>
        <family val="2"/>
      </rPr>
      <t xml:space="preserve">이미지 버전 </t>
    </r>
    <r>
      <rPr>
        <sz val="9"/>
        <color rgb="FF6B7785"/>
        <rFont val="맑은 고딕"/>
        <family val="0"/>
        <charset val="1"/>
      </rPr>
      <t xml:space="preserve">· </t>
    </r>
    <r>
      <rPr>
        <sz val="9"/>
        <color rgb="FF6B7785"/>
        <rFont val="Noto Sans CJK SC"/>
        <family val="2"/>
      </rPr>
      <t xml:space="preserve">포트</t>
    </r>
    <r>
      <rPr>
        <sz val="9"/>
        <color rgb="FF6B7785"/>
        <rFont val="맑은 고딕"/>
        <family val="0"/>
        <charset val="1"/>
      </rPr>
      <t xml:space="preserve">)</t>
    </r>
    <r>
      <rPr>
        <sz val="9"/>
        <color rgb="FF6B7785"/>
        <rFont val="Noto Sans CJK SC"/>
        <family val="2"/>
      </rPr>
      <t xml:space="preserve">은 실제 운영 환경 값으로 채워 사용하십시오</t>
    </r>
    <r>
      <rPr>
        <sz val="9"/>
        <color rgb="FF6B7785"/>
        <rFont val="맑은 고딕"/>
        <family val="0"/>
        <charset val="1"/>
      </rPr>
      <t xml:space="preserve">.</t>
    </r>
  </si>
  <si>
    <t xml:space="preserve">서비스명</t>
  </si>
  <si>
    <r>
      <rPr>
        <b val="true"/>
        <sz val="10"/>
        <color rgb="FFFFFFFF"/>
        <rFont val="Noto Sans CJK SC"/>
        <family val="2"/>
      </rPr>
      <t xml:space="preserve">이미지 버전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태그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</si>
  <si>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포트</t>
  </si>
  <si>
    <t xml:space="preserve">중단 순서</t>
  </si>
  <si>
    <t xml:space="preserve">기동 순서</t>
  </si>
  <si>
    <t xml:space="preserve">정상 확인 방법</t>
  </si>
  <si>
    <t xml:space="preserve">웹 프론트엔드</t>
  </si>
  <si>
    <t xml:space="preserve">로그인 서버</t>
  </si>
  <si>
    <t xml:space="preserve">로그인 페이지 정상 노출</t>
  </si>
  <si>
    <r>
      <rPr>
        <b val="true"/>
        <sz val="9.5"/>
        <rFont val="Noto Sans CJK SC"/>
        <family val="2"/>
      </rPr>
      <t xml:space="preserve">유저 사이트 </t>
    </r>
    <r>
      <rPr>
        <b val="true"/>
        <sz val="9.5"/>
        <rFont val="맑은 고딕"/>
        <family val="0"/>
        <charset val="1"/>
      </rPr>
      <t xml:space="preserve">(</t>
    </r>
    <r>
      <rPr>
        <b val="true"/>
        <sz val="9.5"/>
        <rFont val="Noto Sans CJK SC"/>
        <family val="2"/>
      </rPr>
      <t xml:space="preserve">회의록</t>
    </r>
    <r>
      <rPr>
        <b val="true"/>
        <sz val="9.5"/>
        <rFont val="맑은 고딕"/>
        <family val="0"/>
        <charset val="1"/>
      </rPr>
      <t xml:space="preserve">)</t>
    </r>
  </si>
  <si>
    <t xml:space="preserve">메인 화면 정상 노출</t>
  </si>
  <si>
    <r>
      <rPr>
        <b val="true"/>
        <sz val="9.5"/>
        <rFont val="Noto Sans CJK SC"/>
        <family val="2"/>
      </rPr>
      <t xml:space="preserve">관리 사이트 </t>
    </r>
    <r>
      <rPr>
        <b val="true"/>
        <sz val="9.5"/>
        <rFont val="맑은 고딕"/>
        <family val="0"/>
        <charset val="1"/>
      </rPr>
      <t xml:space="preserve">(BackOffice)</t>
    </r>
  </si>
  <si>
    <t xml:space="preserve">관리자 로그인 화면 정상 노출</t>
  </si>
  <si>
    <t xml:space="preserve">API Gateway</t>
  </si>
  <si>
    <r>
      <rPr>
        <b val="true"/>
        <sz val="9.5"/>
        <rFont val="맑은 고딕"/>
        <family val="0"/>
        <charset val="1"/>
      </rPr>
      <t xml:space="preserve">Web SCG (</t>
    </r>
    <r>
      <rPr>
        <b val="true"/>
        <sz val="9.5"/>
        <rFont val="Noto Sans CJK SC"/>
        <family val="2"/>
      </rPr>
      <t xml:space="preserve">웹 게이트웨이</t>
    </r>
    <r>
      <rPr>
        <b val="true"/>
        <sz val="9.5"/>
        <rFont val="맑은 고딕"/>
        <family val="0"/>
        <charset val="1"/>
      </rPr>
      <t xml:space="preserve">)</t>
    </r>
  </si>
  <si>
    <t xml:space="preserve">헬스체크 응답 확인</t>
  </si>
  <si>
    <r>
      <rPr>
        <b val="true"/>
        <sz val="9.5"/>
        <rFont val="맑은 고딕"/>
        <family val="0"/>
        <charset val="1"/>
      </rPr>
      <t xml:space="preserve">Mobile SCG (</t>
    </r>
    <r>
      <rPr>
        <b val="true"/>
        <sz val="9.5"/>
        <rFont val="Noto Sans CJK SC"/>
        <family val="2"/>
      </rPr>
      <t xml:space="preserve">앱 게이트웨이</t>
    </r>
    <r>
      <rPr>
        <b val="true"/>
        <sz val="9.5"/>
        <rFont val="맑은 고딕"/>
        <family val="0"/>
        <charset val="1"/>
      </rPr>
      <t xml:space="preserve">)</t>
    </r>
  </si>
  <si>
    <t xml:space="preserve">Consul</t>
  </si>
  <si>
    <t xml:space="preserve">서비스 목록 정상 등록 확인</t>
  </si>
  <si>
    <t xml:space="preserve">BE Domain</t>
  </si>
  <si>
    <t xml:space="preserve">Main API Server</t>
  </si>
  <si>
    <t xml:space="preserve">Admin API Server</t>
  </si>
  <si>
    <t xml:space="preserve">External API Server</t>
  </si>
  <si>
    <t xml:space="preserve">Auth API Server</t>
  </si>
  <si>
    <t xml:space="preserve">토큰 발급 정상 확인</t>
  </si>
  <si>
    <t xml:space="preserve">Notify API Server</t>
  </si>
  <si>
    <r>
      <rPr>
        <sz val="9.5"/>
        <rFont val="Noto Sans CJK SC"/>
        <family val="2"/>
      </rPr>
      <t xml:space="preserve">알림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메시지 처리 정상 확인</t>
    </r>
  </si>
  <si>
    <t xml:space="preserve">MariaDB (Master)</t>
  </si>
  <si>
    <t xml:space="preserve">접속 및 쿼리 정상</t>
  </si>
  <si>
    <t xml:space="preserve">MariaDB (Slave)</t>
  </si>
  <si>
    <r>
      <rPr>
        <sz val="9.5"/>
        <rFont val="Noto Sans CJK SC"/>
        <family val="2"/>
      </rPr>
      <t xml:space="preserve">복제 상태 </t>
    </r>
    <r>
      <rPr>
        <sz val="9.5"/>
        <rFont val="맑은 고딕"/>
        <family val="0"/>
        <charset val="1"/>
      </rPr>
      <t xml:space="preserve">Yes / </t>
    </r>
    <r>
      <rPr>
        <sz val="9.5"/>
        <rFont val="Noto Sans CJK SC"/>
        <family val="2"/>
      </rPr>
      <t xml:space="preserve">지연 </t>
    </r>
    <r>
      <rPr>
        <sz val="9.5"/>
        <rFont val="맑은 고딕"/>
        <family val="0"/>
        <charset val="1"/>
      </rPr>
      <t xml:space="preserve">0</t>
    </r>
  </si>
  <si>
    <r>
      <rPr>
        <b val="true"/>
        <sz val="9.5"/>
        <rFont val="맑은 고딕"/>
        <family val="0"/>
        <charset val="1"/>
      </rPr>
      <t xml:space="preserve">MongoDB (</t>
    </r>
    <r>
      <rPr>
        <b val="true"/>
        <sz val="9.5"/>
        <rFont val="Noto Sans CJK SC"/>
        <family val="2"/>
      </rPr>
      <t xml:space="preserve">단독</t>
    </r>
    <r>
      <rPr>
        <b val="true"/>
        <sz val="9.5"/>
        <rFont val="맑은 고딕"/>
        <family val="0"/>
        <charset val="1"/>
      </rPr>
      <t xml:space="preserve">)</t>
    </r>
  </si>
  <si>
    <t xml:space="preserve">접속 및 컬렉션 조회 정상</t>
  </si>
  <si>
    <t xml:space="preserve">모바일 앱</t>
  </si>
  <si>
    <r>
      <rPr>
        <b val="true"/>
        <sz val="9.5"/>
        <rFont val="맑은 고딕"/>
        <family val="0"/>
        <charset val="1"/>
      </rPr>
      <t xml:space="preserve">iOS </t>
    </r>
    <r>
      <rPr>
        <b val="true"/>
        <sz val="9.5"/>
        <rFont val="Noto Sans CJK SC"/>
        <family val="2"/>
      </rPr>
      <t xml:space="preserve">앱 </t>
    </r>
    <r>
      <rPr>
        <b val="true"/>
        <sz val="9.5"/>
        <rFont val="맑은 고딕"/>
        <family val="0"/>
        <charset val="1"/>
      </rPr>
      <t xml:space="preserve">(1.4.0)</t>
    </r>
  </si>
  <si>
    <r>
      <rPr>
        <sz val="9.5"/>
        <rFont val="Noto Sans CJK SC"/>
        <family val="2"/>
      </rPr>
      <t xml:space="preserve">베타 검증 후 운영 배포 </t>
    </r>
    <r>
      <rPr>
        <sz val="9.5"/>
        <rFont val="맑은 고딕"/>
        <family val="0"/>
        <charset val="1"/>
      </rPr>
      <t xml:space="preserve">· HMP </t>
    </r>
    <r>
      <rPr>
        <sz val="9.5"/>
        <rFont val="Noto Sans CJK SC"/>
        <family val="2"/>
      </rPr>
      <t xml:space="preserve">오픈</t>
    </r>
  </si>
  <si>
    <r>
      <rPr>
        <b val="true"/>
        <sz val="9.5"/>
        <rFont val="맑은 고딕"/>
        <family val="0"/>
        <charset val="1"/>
      </rPr>
      <t xml:space="preserve">Android </t>
    </r>
    <r>
      <rPr>
        <b val="true"/>
        <sz val="9.5"/>
        <rFont val="Noto Sans CJK SC"/>
        <family val="2"/>
      </rPr>
      <t xml:space="preserve">앱 </t>
    </r>
    <r>
      <rPr>
        <b val="true"/>
        <sz val="9.5"/>
        <rFont val="맑은 고딕"/>
        <family val="0"/>
        <charset val="1"/>
      </rPr>
      <t xml:space="preserve">(1.4.0)</t>
    </r>
  </si>
  <si>
    <r>
      <rPr>
        <b val="true"/>
        <sz val="9.5"/>
        <color rgb="FF21295C"/>
        <rFont val="Noto Sans CJK SC"/>
        <family val="2"/>
      </rPr>
      <t xml:space="preserve">■ 기동 </t>
    </r>
    <r>
      <rPr>
        <b val="true"/>
        <sz val="9.5"/>
        <color rgb="FF21295C"/>
        <rFont val="맑은 고딕"/>
        <family val="0"/>
        <charset val="1"/>
      </rPr>
      <t xml:space="preserve">/ </t>
    </r>
    <r>
      <rPr>
        <b val="true"/>
        <sz val="9.5"/>
        <color rgb="FF21295C"/>
        <rFont val="Noto Sans CJK SC"/>
        <family val="2"/>
      </rPr>
      <t xml:space="preserve">중단 순서 원칙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</si>
  <si>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중단 </t>
    </r>
    <r>
      <rPr>
        <sz val="9.5"/>
        <color rgb="FF44506B"/>
        <rFont val="맑은 고딕"/>
        <family val="0"/>
        <charset val="1"/>
      </rPr>
      <t xml:space="preserve">: </t>
    </r>
    <r>
      <rPr>
        <sz val="9.5"/>
        <color rgb="FF44506B"/>
        <rFont val="Noto Sans CJK SC"/>
        <family val="2"/>
      </rPr>
      <t xml:space="preserve">웹 프론트엔드 → </t>
    </r>
    <r>
      <rPr>
        <sz val="9.5"/>
        <color rgb="FF44506B"/>
        <rFont val="맑은 고딕"/>
        <family val="0"/>
        <charset val="1"/>
      </rPr>
      <t xml:space="preserve">API Gateway → </t>
    </r>
    <r>
      <rPr>
        <sz val="9.5"/>
        <color rgb="FF44506B"/>
        <rFont val="Noto Sans CJK SC"/>
        <family val="2"/>
      </rPr>
      <t xml:space="preserve">백엔드 </t>
    </r>
    <r>
      <rPr>
        <sz val="9.5"/>
        <color rgb="FF44506B"/>
        <rFont val="맑은 고딕"/>
        <family val="0"/>
        <charset val="1"/>
      </rPr>
      <t xml:space="preserve">API → Consul → </t>
    </r>
    <r>
      <rPr>
        <sz val="9.5"/>
        <color rgb="FF44506B"/>
        <rFont val="Noto Sans CJK SC"/>
        <family val="2"/>
      </rPr>
      <t xml:space="preserve">데이터베이스 순으로 상위 계층부터 중단합니다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</si>
  <si>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기동 </t>
    </r>
    <r>
      <rPr>
        <sz val="9.5"/>
        <color rgb="FF44506B"/>
        <rFont val="맑은 고딕"/>
        <family val="0"/>
        <charset val="1"/>
      </rPr>
      <t xml:space="preserve">: </t>
    </r>
    <r>
      <rPr>
        <sz val="9.5"/>
        <color rgb="FF44506B"/>
        <rFont val="Noto Sans CJK SC"/>
        <family val="2"/>
      </rPr>
      <t xml:space="preserve">데이터베이스 → </t>
    </r>
    <r>
      <rPr>
        <sz val="9.5"/>
        <color rgb="FF44506B"/>
        <rFont val="맑은 고딕"/>
        <family val="0"/>
        <charset val="1"/>
      </rPr>
      <t xml:space="preserve">Consul → </t>
    </r>
    <r>
      <rPr>
        <sz val="9.5"/>
        <color rgb="FF44506B"/>
        <rFont val="Noto Sans CJK SC"/>
        <family val="2"/>
      </rPr>
      <t xml:space="preserve">인증</t>
    </r>
    <r>
      <rPr>
        <sz val="9.5"/>
        <color rgb="FF44506B"/>
        <rFont val="맑은 고딕"/>
        <family val="0"/>
        <charset val="1"/>
      </rPr>
      <t xml:space="preserve">(Auth) API → </t>
    </r>
    <r>
      <rPr>
        <sz val="9.5"/>
        <color rgb="FF44506B"/>
        <rFont val="Noto Sans CJK SC"/>
        <family val="2"/>
      </rPr>
      <t xml:space="preserve">나머지 백엔드 </t>
    </r>
    <r>
      <rPr>
        <sz val="9.5"/>
        <color rgb="FF44506B"/>
        <rFont val="맑은 고딕"/>
        <family val="0"/>
        <charset val="1"/>
      </rPr>
      <t xml:space="preserve">API → Gateway → </t>
    </r>
    <r>
      <rPr>
        <sz val="9.5"/>
        <color rgb="FF44506B"/>
        <rFont val="Noto Sans CJK SC"/>
        <family val="2"/>
      </rPr>
      <t xml:space="preserve">웹 프론트엔드 순으로 하위 계층부터 기동합니다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</si>
  <si>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모바일 앱은 서버 배포 및 웹 검증 완료 후 베타 → 운영 순으로 배포하며</t>
    </r>
    <r>
      <rPr>
        <sz val="9.5"/>
        <color rgb="FF44506B"/>
        <rFont val="맑은 고딕"/>
        <family val="0"/>
        <charset val="1"/>
      </rPr>
      <t xml:space="preserve">, </t>
    </r>
    <r>
      <rPr>
        <sz val="9.5"/>
        <color rgb="FF44506B"/>
        <rFont val="Noto Sans CJK SC"/>
        <family val="2"/>
      </rPr>
      <t xml:space="preserve">마지막에 </t>
    </r>
    <r>
      <rPr>
        <sz val="9.5"/>
        <color rgb="FF44506B"/>
        <rFont val="맑은 고딕"/>
        <family val="0"/>
        <charset val="1"/>
      </rPr>
      <t xml:space="preserve">HMP </t>
    </r>
    <r>
      <rPr>
        <sz val="9.5"/>
        <color rgb="FF44506B"/>
        <rFont val="Noto Sans CJK SC"/>
        <family val="2"/>
      </rPr>
      <t xml:space="preserve">를 오픈합니다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</si>
  <si>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롤백 대상 버전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직전 운영 버전</t>
    </r>
    <r>
      <rPr>
        <sz val="9.5"/>
        <color rgb="FF44506B"/>
        <rFont val="맑은 고딕"/>
        <family val="0"/>
        <charset val="1"/>
      </rPr>
      <t xml:space="preserve">) </t>
    </r>
    <r>
      <rPr>
        <sz val="9.5"/>
        <color rgb="FF44506B"/>
        <rFont val="Noto Sans CJK SC"/>
        <family val="2"/>
      </rPr>
      <t xml:space="preserve">태그를 </t>
    </r>
    <r>
      <rPr>
        <sz val="9.5"/>
        <color rgb="FF44506B"/>
        <rFont val="맑은 고딕"/>
        <family val="0"/>
        <charset val="1"/>
      </rPr>
      <t xml:space="preserve">'</t>
    </r>
    <r>
      <rPr>
        <sz val="9.5"/>
        <color rgb="FF44506B"/>
        <rFont val="Noto Sans CJK SC"/>
        <family val="2"/>
      </rPr>
      <t xml:space="preserve">이미지 버전</t>
    </r>
    <r>
      <rPr>
        <sz val="9.5"/>
        <color rgb="FF44506B"/>
        <rFont val="맑은 고딕"/>
        <family val="0"/>
        <charset val="1"/>
      </rPr>
      <t xml:space="preserve">' </t>
    </r>
    <r>
      <rPr>
        <sz val="9.5"/>
        <color rgb="FF44506B"/>
        <rFont val="Noto Sans CJK SC"/>
        <family val="2"/>
      </rPr>
      <t xml:space="preserve">열에 함께 기록해 두시면 복구 시 혼선을 줄일 수 있습니다</t>
    </r>
    <r>
      <rPr>
        <sz val="9.5"/>
        <color rgb="FF44506B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</si>
</sst>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1295C"/>
      <name val="맑은 고딕"/>
      <family val="0"/>
      <charset val="1"/>
    </font>
    <font>
      <b val="true"/>
      <sz val="15"/>
      <color rgb="FF21295C"/>
      <name val="Noto Sans CJK SC"/>
      <family val="2"/>
    </font>
    <font>
      <sz val="9"/>
      <color rgb="FF6B7785"/>
      <name val="Noto Sans CJK SC"/>
      <family val="2"/>
    </font>
    <font>
      <sz val="9"/>
      <color rgb="FF6B7785"/>
      <name val="맑은 고딕"/>
      <family val="0"/>
      <charset val="1"/>
    </font>
    <font>
      <b val="true"/>
      <sz val="10"/>
      <color rgb="FF065A82"/>
      <name val="Noto Sans CJK SC"/>
      <family val="2"/>
    </font>
    <font>
      <b val="true"/>
      <sz val="10"/>
      <color rgb="FF065A82"/>
      <name val="맑은 고딕"/>
      <family val="0"/>
      <charset val="1"/>
    </font>
    <font>
      <sz val="10"/>
      <color rgb="FF44506B"/>
      <name val="맑은 고딕"/>
      <family val="0"/>
      <charset val="1"/>
    </font>
    <font>
      <sz val="10"/>
      <color rgb="FF44506B"/>
      <name val="Noto Sans CJK SC"/>
      <family val="2"/>
    </font>
    <font>
      <b val="true"/>
      <sz val="10"/>
      <color rgb="FF0000F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9.5"/>
      <name val="맑은 고딕"/>
      <family val="0"/>
      <charset val="1"/>
    </font>
    <font>
      <b val="true"/>
      <sz val="9.5"/>
      <name val="Noto Sans CJK SC"/>
      <family val="2"/>
    </font>
    <font>
      <sz val="9.5"/>
      <name val="Noto Sans CJK SC"/>
      <family val="2"/>
    </font>
    <font>
      <b val="true"/>
      <sz val="9.5"/>
      <name val="맑은 고딕"/>
      <family val="0"/>
      <charset val="1"/>
    </font>
    <font>
      <b val="true"/>
      <sz val="10"/>
      <color rgb="FF21295C"/>
      <name val="맑은 고딕"/>
      <family val="0"/>
      <charset val="1"/>
    </font>
    <font>
      <b val="true"/>
      <sz val="10"/>
      <color rgb="FF21295C"/>
      <name val="Noto Sans CJK SC"/>
      <family val="2"/>
    </font>
    <font>
      <b val="true"/>
      <sz val="9.5"/>
      <color rgb="FF21295C"/>
      <name val="Noto Sans CJK SC"/>
      <family val="2"/>
    </font>
    <font>
      <sz val="9.5"/>
      <color rgb="FF44506B"/>
      <name val="맑은 고딕"/>
      <family val="0"/>
      <charset val="1"/>
    </font>
    <font>
      <sz val="9.5"/>
      <color rgb="FF44506B"/>
      <name val="Noto Sans CJK SC"/>
      <family val="2"/>
    </font>
    <font>
      <b val="true"/>
      <sz val="10"/>
      <color rgb="FFE08700"/>
      <name val="Noto Sans CJK SC"/>
      <family val="2"/>
    </font>
    <font>
      <b val="true"/>
      <sz val="10"/>
      <color rgb="FFE08700"/>
      <name val="맑은 고딕"/>
      <family val="0"/>
      <charset val="1"/>
    </font>
    <font>
      <b val="true"/>
      <sz val="9.5"/>
      <color rgb="FF21295C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DF6EA"/>
      </patternFill>
    </fill>
    <fill>
      <patternFill patternType="solid">
        <fgColor rgb="FF21295C"/>
        <bgColor rgb="FF003366"/>
      </patternFill>
    </fill>
    <fill>
      <patternFill patternType="solid">
        <fgColor rgb="FF065A82"/>
        <bgColor rgb="FF1C7293"/>
      </patternFill>
    </fill>
    <fill>
      <patternFill patternType="solid">
        <fgColor rgb="FF1C7293"/>
        <bgColor rgb="FF008080"/>
      </patternFill>
    </fill>
    <fill>
      <patternFill patternType="solid">
        <fgColor rgb="FFEAF2F7"/>
        <bgColor rgb="FFF7FAFC"/>
      </patternFill>
    </fill>
    <fill>
      <patternFill patternType="solid">
        <fgColor rgb="FFF7FAFC"/>
        <bgColor rgb="FFFFFFFF"/>
      </patternFill>
    </fill>
    <fill>
      <patternFill patternType="solid">
        <fgColor rgb="FFE08700"/>
        <bgColor rgb="FFFF6600"/>
      </patternFill>
    </fill>
    <fill>
      <patternFill patternType="solid">
        <fgColor rgb="FFFDF6EA"/>
        <bgColor rgb="FFF7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4"/>
      </left>
      <right style="thin">
        <color rgb="FFD5DDE4"/>
      </right>
      <top style="thin">
        <color rgb="FFD5DDE4"/>
      </top>
      <bottom style="thin">
        <color rgb="FFD5DD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맑은 고딕"/>
        <charset val="1"/>
        <family val="0"/>
        <color rgb="FF006100"/>
        <sz val="9"/>
      </font>
      <fill>
        <patternFill>
          <bgColor rgb="FFC6EFCE"/>
        </patternFill>
      </fill>
    </dxf>
    <dxf>
      <font>
        <name val="맑은 고딕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C7293"/>
      <rgbColor rgb="FFC0C0C0"/>
      <rgbColor rgb="FF6B7785"/>
      <rgbColor rgb="FF9999FF"/>
      <rgbColor rgb="FF993366"/>
      <rgbColor rgb="FFFFF2CC"/>
      <rgbColor rgb="FFEAF2F7"/>
      <rgbColor rgb="FF660066"/>
      <rgbColor rgb="FFFF8080"/>
      <rgbColor rgb="FF065A82"/>
      <rgbColor rgb="FFD5DD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6EFCE"/>
      <rgbColor rgb="FFFDF6EA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E087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4506B"/>
      <rgbColor rgb="FF2129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 t="s">
        <v>4</v>
      </c>
    </row>
    <row r="5" customFormat="false" ht="15" hidden="false" customHeight="false" outlineLevel="0" collapsed="false">
      <c r="A5" s="3" t="s">
        <v>5</v>
      </c>
      <c r="B5" s="3"/>
      <c r="C5" s="5" t="n">
        <v>0.375</v>
      </c>
      <c r="D5" s="6" t="s">
        <v>6</v>
      </c>
    </row>
    <row r="7" customFormat="false" ht="30" hidden="false" customHeight="true" outlineLevel="0" collapsed="false">
      <c r="A7" s="7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  <c r="J7" s="8" t="s">
        <v>16</v>
      </c>
      <c r="K7" s="8" t="s">
        <v>17</v>
      </c>
      <c r="L7" s="8" t="s">
        <v>18</v>
      </c>
    </row>
    <row r="8" customFormat="false" ht="29.85" hidden="false" customHeight="true" outlineLevel="0" collapsed="false">
      <c r="A8" s="9" t="s">
        <v>19</v>
      </c>
      <c r="B8" s="10" t="s">
        <v>20</v>
      </c>
      <c r="C8" s="11" t="s">
        <v>21</v>
      </c>
      <c r="D8" s="12" t="s">
        <v>22</v>
      </c>
      <c r="E8" s="13" t="s">
        <v>23</v>
      </c>
      <c r="F8" s="14" t="n">
        <f aca="false">$C$5</f>
        <v>0.375</v>
      </c>
      <c r="G8" s="9" t="n">
        <v>2</v>
      </c>
      <c r="H8" s="14" t="n">
        <f aca="false">F8+G8/1440</f>
        <v>0.376388888888889</v>
      </c>
      <c r="I8" s="9" t="s">
        <v>24</v>
      </c>
      <c r="J8" s="15"/>
      <c r="K8" s="16"/>
      <c r="L8" s="17"/>
    </row>
    <row r="9" customFormat="false" ht="29.85" hidden="false" customHeight="false" outlineLevel="0" collapsed="false">
      <c r="A9" s="9" t="s">
        <v>25</v>
      </c>
      <c r="B9" s="10"/>
      <c r="C9" s="18" t="s">
        <v>26</v>
      </c>
      <c r="D9" s="12" t="s">
        <v>27</v>
      </c>
      <c r="E9" s="13" t="s">
        <v>23</v>
      </c>
      <c r="F9" s="14" t="n">
        <f aca="false">H8</f>
        <v>0.376388888888889</v>
      </c>
      <c r="G9" s="9" t="n">
        <v>2</v>
      </c>
      <c r="H9" s="14" t="n">
        <f aca="false">F9+G9/1440</f>
        <v>0.377777777777778</v>
      </c>
      <c r="I9" s="9" t="s">
        <v>19</v>
      </c>
      <c r="J9" s="15"/>
      <c r="K9" s="16"/>
      <c r="L9" s="17"/>
    </row>
    <row r="10" customFormat="false" ht="29.85" hidden="false" customHeight="false" outlineLevel="0" collapsed="false">
      <c r="A10" s="9" t="s">
        <v>28</v>
      </c>
      <c r="B10" s="10"/>
      <c r="C10" s="18" t="s">
        <v>29</v>
      </c>
      <c r="D10" s="12" t="s">
        <v>30</v>
      </c>
      <c r="E10" s="13" t="s">
        <v>23</v>
      </c>
      <c r="F10" s="14" t="n">
        <f aca="false">H9</f>
        <v>0.377777777777778</v>
      </c>
      <c r="G10" s="9" t="n">
        <v>3</v>
      </c>
      <c r="H10" s="14" t="n">
        <f aca="false">F10+G10/1440</f>
        <v>0.379861111111111</v>
      </c>
      <c r="I10" s="9" t="s">
        <v>25</v>
      </c>
      <c r="J10" s="15"/>
      <c r="K10" s="16"/>
      <c r="L10" s="17"/>
    </row>
    <row r="11" customFormat="false" ht="29.85" hidden="false" customHeight="false" outlineLevel="0" collapsed="false">
      <c r="A11" s="9" t="s">
        <v>31</v>
      </c>
      <c r="B11" s="10"/>
      <c r="C11" s="18" t="s">
        <v>32</v>
      </c>
      <c r="D11" s="19" t="s">
        <v>33</v>
      </c>
      <c r="E11" s="13" t="s">
        <v>23</v>
      </c>
      <c r="F11" s="14" t="n">
        <f aca="false">H10</f>
        <v>0.379861111111111</v>
      </c>
      <c r="G11" s="9" t="n">
        <v>2</v>
      </c>
      <c r="H11" s="14" t="n">
        <f aca="false">F11+G11/1440</f>
        <v>0.38125</v>
      </c>
      <c r="I11" s="9" t="s">
        <v>28</v>
      </c>
      <c r="J11" s="15"/>
      <c r="K11" s="16"/>
      <c r="L11" s="17"/>
    </row>
    <row r="12" customFormat="false" ht="15" hidden="false" customHeight="false" outlineLevel="0" collapsed="false">
      <c r="A12" s="9" t="s">
        <v>34</v>
      </c>
      <c r="B12" s="10"/>
      <c r="C12" s="11" t="s">
        <v>35</v>
      </c>
      <c r="D12" s="12" t="s">
        <v>36</v>
      </c>
      <c r="E12" s="13" t="s">
        <v>23</v>
      </c>
      <c r="F12" s="14" t="n">
        <f aca="false">H11</f>
        <v>0.38125</v>
      </c>
      <c r="G12" s="9" t="n">
        <v>1</v>
      </c>
      <c r="H12" s="14" t="n">
        <f aca="false">F12+G12/1440</f>
        <v>0.381944444444444</v>
      </c>
      <c r="I12" s="9" t="s">
        <v>31</v>
      </c>
      <c r="J12" s="15"/>
      <c r="K12" s="16"/>
      <c r="L12" s="17"/>
    </row>
    <row r="13" customFormat="false" ht="29.85" hidden="false" customHeight="true" outlineLevel="0" collapsed="false">
      <c r="A13" s="9" t="s">
        <v>37</v>
      </c>
      <c r="B13" s="20" t="s">
        <v>38</v>
      </c>
      <c r="C13" s="11" t="s">
        <v>39</v>
      </c>
      <c r="D13" s="12" t="s">
        <v>40</v>
      </c>
      <c r="E13" s="13" t="s">
        <v>23</v>
      </c>
      <c r="F13" s="14" t="n">
        <f aca="false">H12</f>
        <v>0.381944444444444</v>
      </c>
      <c r="G13" s="9" t="n">
        <v>1</v>
      </c>
      <c r="H13" s="14" t="n">
        <f aca="false">F13+G13/1440</f>
        <v>0.382638888888889</v>
      </c>
      <c r="I13" s="9" t="s">
        <v>34</v>
      </c>
      <c r="J13" s="15"/>
      <c r="K13" s="16"/>
      <c r="L13" s="17"/>
    </row>
    <row r="14" customFormat="false" ht="29.85" hidden="false" customHeight="false" outlineLevel="0" collapsed="false">
      <c r="A14" s="9" t="s">
        <v>41</v>
      </c>
      <c r="B14" s="20"/>
      <c r="C14" s="11" t="s">
        <v>42</v>
      </c>
      <c r="D14" s="19" t="s">
        <v>43</v>
      </c>
      <c r="E14" s="13" t="s">
        <v>23</v>
      </c>
      <c r="F14" s="14" t="n">
        <f aca="false">H13</f>
        <v>0.382638888888889</v>
      </c>
      <c r="G14" s="9" t="n">
        <v>3</v>
      </c>
      <c r="H14" s="14" t="n">
        <f aca="false">F14+G14/1440</f>
        <v>0.384722222222222</v>
      </c>
      <c r="I14" s="9" t="s">
        <v>37</v>
      </c>
      <c r="J14" s="15"/>
      <c r="K14" s="16"/>
      <c r="L14" s="17"/>
    </row>
    <row r="15" customFormat="false" ht="15" hidden="false" customHeight="false" outlineLevel="0" collapsed="false">
      <c r="A15" s="9" t="s">
        <v>44</v>
      </c>
      <c r="B15" s="20"/>
      <c r="C15" s="11" t="s">
        <v>45</v>
      </c>
      <c r="D15" s="12" t="s">
        <v>46</v>
      </c>
      <c r="E15" s="13" t="s">
        <v>23</v>
      </c>
      <c r="F15" s="14" t="n">
        <f aca="false">H14</f>
        <v>0.384722222222222</v>
      </c>
      <c r="G15" s="9" t="n">
        <v>1</v>
      </c>
      <c r="H15" s="14" t="n">
        <f aca="false">F15+G15/1440</f>
        <v>0.385416666666667</v>
      </c>
      <c r="I15" s="9" t="s">
        <v>41</v>
      </c>
      <c r="J15" s="15"/>
      <c r="K15" s="16"/>
      <c r="L15" s="17"/>
    </row>
    <row r="16" customFormat="false" ht="15" hidden="false" customHeight="true" outlineLevel="0" collapsed="false">
      <c r="A16" s="9" t="s">
        <v>47</v>
      </c>
      <c r="B16" s="10" t="s">
        <v>48</v>
      </c>
      <c r="C16" s="11" t="s">
        <v>49</v>
      </c>
      <c r="D16" s="12" t="s">
        <v>50</v>
      </c>
      <c r="E16" s="13" t="s">
        <v>23</v>
      </c>
      <c r="F16" s="14" t="n">
        <f aca="false">H15</f>
        <v>0.385416666666667</v>
      </c>
      <c r="G16" s="9" t="n">
        <v>1</v>
      </c>
      <c r="H16" s="14" t="n">
        <f aca="false">F16+G16/1440</f>
        <v>0.386111111111111</v>
      </c>
      <c r="I16" s="9" t="s">
        <v>44</v>
      </c>
      <c r="J16" s="15"/>
      <c r="K16" s="16"/>
      <c r="L16" s="17"/>
    </row>
    <row r="17" customFormat="false" ht="29.85" hidden="false" customHeight="false" outlineLevel="0" collapsed="false">
      <c r="A17" s="9" t="s">
        <v>51</v>
      </c>
      <c r="B17" s="10"/>
      <c r="C17" s="11" t="s">
        <v>52</v>
      </c>
      <c r="D17" s="19" t="s">
        <v>53</v>
      </c>
      <c r="E17" s="13" t="s">
        <v>23</v>
      </c>
      <c r="F17" s="14" t="n">
        <f aca="false">H16</f>
        <v>0.386111111111111</v>
      </c>
      <c r="G17" s="9" t="n">
        <v>3</v>
      </c>
      <c r="H17" s="14" t="n">
        <f aca="false">F17+G17/1440</f>
        <v>0.388194444444444</v>
      </c>
      <c r="I17" s="9" t="s">
        <v>47</v>
      </c>
      <c r="J17" s="15"/>
      <c r="K17" s="16"/>
      <c r="L17" s="17"/>
    </row>
    <row r="18" customFormat="false" ht="15" hidden="false" customHeight="false" outlineLevel="0" collapsed="false">
      <c r="A18" s="9" t="s">
        <v>54</v>
      </c>
      <c r="B18" s="10"/>
      <c r="C18" s="11" t="s">
        <v>55</v>
      </c>
      <c r="D18" s="12" t="s">
        <v>56</v>
      </c>
      <c r="E18" s="13" t="s">
        <v>23</v>
      </c>
      <c r="F18" s="14" t="n">
        <f aca="false">H17</f>
        <v>0.388194444444444</v>
      </c>
      <c r="G18" s="9" t="n">
        <v>1</v>
      </c>
      <c r="H18" s="14" t="n">
        <f aca="false">F18+G18/1440</f>
        <v>0.388888888888889</v>
      </c>
      <c r="I18" s="9" t="s">
        <v>51</v>
      </c>
      <c r="J18" s="15"/>
      <c r="K18" s="16"/>
      <c r="L18" s="17"/>
    </row>
    <row r="19" customFormat="false" ht="27.6" hidden="false" customHeight="true" outlineLevel="0" collapsed="false">
      <c r="A19" s="9" t="s">
        <v>57</v>
      </c>
      <c r="B19" s="20" t="s">
        <v>58</v>
      </c>
      <c r="C19" s="11" t="s">
        <v>59</v>
      </c>
      <c r="D19" s="19" t="s">
        <v>60</v>
      </c>
      <c r="E19" s="13" t="s">
        <v>23</v>
      </c>
      <c r="F19" s="14" t="n">
        <f aca="false">H18</f>
        <v>0.388888888888889</v>
      </c>
      <c r="G19" s="9" t="n">
        <v>2</v>
      </c>
      <c r="H19" s="14" t="n">
        <f aca="false">F19+G19/1440</f>
        <v>0.390277777777778</v>
      </c>
      <c r="I19" s="9" t="s">
        <v>54</v>
      </c>
      <c r="J19" s="15"/>
      <c r="K19" s="16"/>
      <c r="L19" s="17"/>
    </row>
    <row r="20" customFormat="false" ht="29.85" hidden="false" customHeight="false" outlineLevel="0" collapsed="false">
      <c r="A20" s="9" t="s">
        <v>61</v>
      </c>
      <c r="B20" s="20"/>
      <c r="C20" s="11" t="s">
        <v>62</v>
      </c>
      <c r="D20" s="19" t="s">
        <v>63</v>
      </c>
      <c r="E20" s="13" t="s">
        <v>23</v>
      </c>
      <c r="F20" s="14" t="n">
        <f aca="false">H19</f>
        <v>0.390277777777778</v>
      </c>
      <c r="G20" s="9" t="n">
        <v>1</v>
      </c>
      <c r="H20" s="14" t="n">
        <f aca="false">F20+G20/1440</f>
        <v>0.390972222222222</v>
      </c>
      <c r="I20" s="9" t="s">
        <v>57</v>
      </c>
      <c r="J20" s="15"/>
      <c r="K20" s="16"/>
      <c r="L20" s="17"/>
    </row>
    <row r="21" customFormat="false" ht="29.85" hidden="false" customHeight="false" outlineLevel="0" collapsed="false">
      <c r="A21" s="9" t="s">
        <v>64</v>
      </c>
      <c r="B21" s="20"/>
      <c r="C21" s="18" t="s">
        <v>65</v>
      </c>
      <c r="D21" s="19" t="s">
        <v>66</v>
      </c>
      <c r="E21" s="13" t="s">
        <v>23</v>
      </c>
      <c r="F21" s="14" t="n">
        <f aca="false">H20</f>
        <v>0.390972222222222</v>
      </c>
      <c r="G21" s="9" t="n">
        <v>1</v>
      </c>
      <c r="H21" s="14" t="n">
        <f aca="false">F21+G21/1440</f>
        <v>0.391666666666667</v>
      </c>
      <c r="I21" s="9" t="s">
        <v>61</v>
      </c>
      <c r="J21" s="15"/>
      <c r="K21" s="16"/>
      <c r="L21" s="17"/>
    </row>
    <row r="22" customFormat="false" ht="29.85" hidden="false" customHeight="false" outlineLevel="0" collapsed="false">
      <c r="A22" s="9" t="s">
        <v>67</v>
      </c>
      <c r="B22" s="20"/>
      <c r="C22" s="11" t="s">
        <v>68</v>
      </c>
      <c r="D22" s="12" t="s">
        <v>69</v>
      </c>
      <c r="E22" s="13" t="s">
        <v>23</v>
      </c>
      <c r="F22" s="14" t="n">
        <f aca="false">H21</f>
        <v>0.391666666666667</v>
      </c>
      <c r="G22" s="9" t="n">
        <v>1</v>
      </c>
      <c r="H22" s="14" t="n">
        <f aca="false">F22+G22/1440</f>
        <v>0.392361111111111</v>
      </c>
      <c r="I22" s="9" t="s">
        <v>64</v>
      </c>
      <c r="J22" s="15"/>
      <c r="K22" s="16"/>
      <c r="L22" s="17"/>
    </row>
    <row r="23" customFormat="false" ht="15" hidden="false" customHeight="true" outlineLevel="0" collapsed="false">
      <c r="A23" s="9" t="s">
        <v>70</v>
      </c>
      <c r="B23" s="10" t="s">
        <v>71</v>
      </c>
      <c r="C23" s="11" t="s">
        <v>72</v>
      </c>
      <c r="D23" s="12" t="s">
        <v>73</v>
      </c>
      <c r="E23" s="13" t="s">
        <v>74</v>
      </c>
      <c r="F23" s="14" t="n">
        <f aca="false">H22</f>
        <v>0.392361111111111</v>
      </c>
      <c r="G23" s="9" t="n">
        <v>3</v>
      </c>
      <c r="H23" s="14" t="n">
        <f aca="false">F23+G23/1440</f>
        <v>0.394444444444444</v>
      </c>
      <c r="I23" s="9" t="s">
        <v>67</v>
      </c>
      <c r="J23" s="15"/>
      <c r="K23" s="16"/>
      <c r="L23" s="17"/>
    </row>
    <row r="24" customFormat="false" ht="15" hidden="false" customHeight="false" outlineLevel="0" collapsed="false">
      <c r="A24" s="9" t="s">
        <v>75</v>
      </c>
      <c r="B24" s="10"/>
      <c r="C24" s="11" t="s">
        <v>76</v>
      </c>
      <c r="D24" s="12" t="s">
        <v>77</v>
      </c>
      <c r="E24" s="13" t="s">
        <v>74</v>
      </c>
      <c r="F24" s="14" t="n">
        <f aca="false">H23</f>
        <v>0.394444444444444</v>
      </c>
      <c r="G24" s="9" t="n">
        <v>2</v>
      </c>
      <c r="H24" s="14" t="n">
        <f aca="false">F24+G24/1440</f>
        <v>0.395833333333333</v>
      </c>
      <c r="I24" s="9" t="s">
        <v>70</v>
      </c>
      <c r="J24" s="15"/>
      <c r="K24" s="16"/>
      <c r="L24" s="17"/>
    </row>
    <row r="25" customFormat="false" ht="15" hidden="false" customHeight="true" outlineLevel="0" collapsed="false">
      <c r="A25" s="9" t="s">
        <v>78</v>
      </c>
      <c r="B25" s="20" t="s">
        <v>79</v>
      </c>
      <c r="C25" s="11" t="s">
        <v>80</v>
      </c>
      <c r="D25" s="19" t="s">
        <v>81</v>
      </c>
      <c r="E25" s="13" t="s">
        <v>82</v>
      </c>
      <c r="F25" s="14" t="n">
        <f aca="false">H24</f>
        <v>0.395833333333333</v>
      </c>
      <c r="G25" s="9" t="n">
        <v>10</v>
      </c>
      <c r="H25" s="14" t="n">
        <f aca="false">F25+G25/1440</f>
        <v>0.402777777777778</v>
      </c>
      <c r="I25" s="9" t="s">
        <v>75</v>
      </c>
      <c r="J25" s="15"/>
      <c r="K25" s="16"/>
      <c r="L25" s="17"/>
    </row>
    <row r="26" customFormat="false" ht="29.85" hidden="false" customHeight="false" outlineLevel="0" collapsed="false">
      <c r="A26" s="9" t="s">
        <v>83</v>
      </c>
      <c r="B26" s="20"/>
      <c r="C26" s="11" t="s">
        <v>84</v>
      </c>
      <c r="D26" s="12" t="s">
        <v>85</v>
      </c>
      <c r="E26" s="13" t="s">
        <v>82</v>
      </c>
      <c r="F26" s="14" t="n">
        <f aca="false">H25</f>
        <v>0.402777777777778</v>
      </c>
      <c r="G26" s="9" t="n">
        <v>15</v>
      </c>
      <c r="H26" s="14" t="n">
        <f aca="false">F26+G26/1440</f>
        <v>0.413194444444444</v>
      </c>
      <c r="I26" s="9" t="s">
        <v>78</v>
      </c>
      <c r="J26" s="15"/>
      <c r="K26" s="16"/>
      <c r="L26" s="17"/>
    </row>
    <row r="27" customFormat="false" ht="29.85" hidden="false" customHeight="false" outlineLevel="0" collapsed="false">
      <c r="A27" s="9" t="s">
        <v>86</v>
      </c>
      <c r="B27" s="20"/>
      <c r="C27" s="11" t="s">
        <v>87</v>
      </c>
      <c r="D27" s="12" t="s">
        <v>88</v>
      </c>
      <c r="E27" s="13" t="s">
        <v>82</v>
      </c>
      <c r="F27" s="14" t="n">
        <f aca="false">H26</f>
        <v>0.413194444444444</v>
      </c>
      <c r="G27" s="9" t="n">
        <v>15</v>
      </c>
      <c r="H27" s="14" t="n">
        <f aca="false">F27+G27/1440</f>
        <v>0.423611111111111</v>
      </c>
      <c r="I27" s="9" t="s">
        <v>83</v>
      </c>
      <c r="J27" s="15"/>
      <c r="K27" s="16"/>
      <c r="L27" s="17"/>
    </row>
    <row r="28" customFormat="false" ht="29.85" hidden="false" customHeight="false" outlineLevel="0" collapsed="false">
      <c r="A28" s="9" t="s">
        <v>89</v>
      </c>
      <c r="B28" s="20"/>
      <c r="C28" s="11" t="s">
        <v>90</v>
      </c>
      <c r="D28" s="12" t="s">
        <v>91</v>
      </c>
      <c r="E28" s="13" t="s">
        <v>82</v>
      </c>
      <c r="F28" s="14" t="n">
        <f aca="false">H27</f>
        <v>0.423611111111111</v>
      </c>
      <c r="G28" s="9" t="n">
        <v>15</v>
      </c>
      <c r="H28" s="14" t="n">
        <f aca="false">F28+G28/1440</f>
        <v>0.434027777777778</v>
      </c>
      <c r="I28" s="9" t="s">
        <v>86</v>
      </c>
      <c r="J28" s="15"/>
      <c r="K28" s="16"/>
      <c r="L28" s="17"/>
    </row>
    <row r="29" customFormat="false" ht="15" hidden="false" customHeight="false" outlineLevel="0" collapsed="false">
      <c r="A29" s="9" t="s">
        <v>92</v>
      </c>
      <c r="B29" s="20"/>
      <c r="C29" s="11" t="s">
        <v>93</v>
      </c>
      <c r="D29" s="12" t="s">
        <v>94</v>
      </c>
      <c r="E29" s="13" t="s">
        <v>82</v>
      </c>
      <c r="F29" s="14" t="n">
        <f aca="false">H28</f>
        <v>0.434027777777778</v>
      </c>
      <c r="G29" s="9" t="n">
        <v>5</v>
      </c>
      <c r="H29" s="14" t="n">
        <f aca="false">F29+G29/1440</f>
        <v>0.4375</v>
      </c>
      <c r="I29" s="9" t="s">
        <v>89</v>
      </c>
      <c r="J29" s="15"/>
      <c r="K29" s="16"/>
      <c r="L29" s="17"/>
    </row>
    <row r="30" customFormat="false" ht="29.85" hidden="false" customHeight="true" outlineLevel="0" collapsed="false">
      <c r="A30" s="9" t="s">
        <v>95</v>
      </c>
      <c r="B30" s="10" t="s">
        <v>96</v>
      </c>
      <c r="C30" s="11" t="s">
        <v>97</v>
      </c>
      <c r="D30" s="12" t="s">
        <v>98</v>
      </c>
      <c r="E30" s="13" t="s">
        <v>74</v>
      </c>
      <c r="F30" s="14" t="n">
        <f aca="false">H29</f>
        <v>0.4375</v>
      </c>
      <c r="G30" s="9" t="n">
        <v>8</v>
      </c>
      <c r="H30" s="14" t="n">
        <f aca="false">F30+G30/1440</f>
        <v>0.443055555555556</v>
      </c>
      <c r="I30" s="9" t="s">
        <v>92</v>
      </c>
      <c r="J30" s="15"/>
      <c r="K30" s="16"/>
      <c r="L30" s="17"/>
    </row>
    <row r="31" customFormat="false" ht="29.85" hidden="false" customHeight="false" outlineLevel="0" collapsed="false">
      <c r="A31" s="9" t="s">
        <v>99</v>
      </c>
      <c r="B31" s="10"/>
      <c r="C31" s="11" t="s">
        <v>100</v>
      </c>
      <c r="D31" s="12" t="s">
        <v>101</v>
      </c>
      <c r="E31" s="13" t="s">
        <v>74</v>
      </c>
      <c r="F31" s="14" t="n">
        <f aca="false">H30</f>
        <v>0.443055555555556</v>
      </c>
      <c r="G31" s="9" t="n">
        <v>10</v>
      </c>
      <c r="H31" s="14" t="n">
        <f aca="false">F31+G31/1440</f>
        <v>0.45</v>
      </c>
      <c r="I31" s="9" t="s">
        <v>95</v>
      </c>
      <c r="J31" s="15"/>
      <c r="K31" s="16"/>
      <c r="L31" s="17"/>
    </row>
    <row r="32" customFormat="false" ht="15" hidden="false" customHeight="false" outlineLevel="0" collapsed="false">
      <c r="A32" s="9" t="s">
        <v>102</v>
      </c>
      <c r="B32" s="10"/>
      <c r="C32" s="11" t="s">
        <v>103</v>
      </c>
      <c r="D32" s="12" t="s">
        <v>104</v>
      </c>
      <c r="E32" s="13" t="s">
        <v>74</v>
      </c>
      <c r="F32" s="14" t="n">
        <f aca="false">H31</f>
        <v>0.45</v>
      </c>
      <c r="G32" s="9" t="n">
        <v>2</v>
      </c>
      <c r="H32" s="14" t="n">
        <f aca="false">F32+G32/1440</f>
        <v>0.451388888888889</v>
      </c>
      <c r="I32" s="9" t="s">
        <v>99</v>
      </c>
      <c r="J32" s="15"/>
      <c r="K32" s="16"/>
      <c r="L32" s="17"/>
    </row>
    <row r="33" customFormat="false" ht="15" hidden="false" customHeight="true" outlineLevel="0" collapsed="false">
      <c r="A33" s="9" t="s">
        <v>105</v>
      </c>
      <c r="B33" s="20" t="s">
        <v>106</v>
      </c>
      <c r="C33" s="18" t="s">
        <v>107</v>
      </c>
      <c r="D33" s="12" t="s">
        <v>108</v>
      </c>
      <c r="E33" s="13" t="s">
        <v>109</v>
      </c>
      <c r="F33" s="14" t="n">
        <f aca="false">H32</f>
        <v>0.451388888888889</v>
      </c>
      <c r="G33" s="9" t="n">
        <v>1</v>
      </c>
      <c r="H33" s="14" t="n">
        <f aca="false">F33+G33/1440</f>
        <v>0.452083333333333</v>
      </c>
      <c r="I33" s="9" t="s">
        <v>102</v>
      </c>
      <c r="J33" s="15"/>
      <c r="K33" s="16"/>
      <c r="L33" s="17"/>
    </row>
    <row r="34" customFormat="false" ht="15" hidden="false" customHeight="false" outlineLevel="0" collapsed="false">
      <c r="A34" s="9" t="s">
        <v>110</v>
      </c>
      <c r="B34" s="20"/>
      <c r="C34" s="11" t="s">
        <v>111</v>
      </c>
      <c r="D34" s="12" t="s">
        <v>112</v>
      </c>
      <c r="E34" s="13" t="s">
        <v>74</v>
      </c>
      <c r="F34" s="14" t="n">
        <f aca="false">H33</f>
        <v>0.452083333333333</v>
      </c>
      <c r="G34" s="9" t="n">
        <v>2</v>
      </c>
      <c r="H34" s="14" t="n">
        <f aca="false">F34+G34/1440</f>
        <v>0.453472222222222</v>
      </c>
      <c r="I34" s="9" t="s">
        <v>105</v>
      </c>
      <c r="J34" s="15"/>
      <c r="K34" s="16"/>
      <c r="L34" s="17"/>
    </row>
    <row r="35" customFormat="false" ht="29.85" hidden="false" customHeight="false" outlineLevel="0" collapsed="false">
      <c r="A35" s="9" t="s">
        <v>113</v>
      </c>
      <c r="B35" s="20"/>
      <c r="C35" s="18" t="s">
        <v>114</v>
      </c>
      <c r="D35" s="12" t="s">
        <v>115</v>
      </c>
      <c r="E35" s="13" t="s">
        <v>74</v>
      </c>
      <c r="F35" s="14" t="n">
        <f aca="false">H34</f>
        <v>0.453472222222222</v>
      </c>
      <c r="G35" s="9" t="n">
        <v>2</v>
      </c>
      <c r="H35" s="14" t="n">
        <f aca="false">F35+G35/1440</f>
        <v>0.454861111111111</v>
      </c>
      <c r="I35" s="9" t="s">
        <v>110</v>
      </c>
      <c r="J35" s="15"/>
      <c r="K35" s="16"/>
      <c r="L35" s="17"/>
    </row>
    <row r="36" customFormat="false" ht="15" hidden="false" customHeight="true" outlineLevel="0" collapsed="false">
      <c r="A36" s="9" t="s">
        <v>116</v>
      </c>
      <c r="B36" s="10" t="s">
        <v>117</v>
      </c>
      <c r="C36" s="11" t="s">
        <v>118</v>
      </c>
      <c r="D36" s="12" t="s">
        <v>119</v>
      </c>
      <c r="E36" s="13" t="s">
        <v>23</v>
      </c>
      <c r="F36" s="14" t="n">
        <f aca="false">H35</f>
        <v>0.454861111111111</v>
      </c>
      <c r="G36" s="9" t="n">
        <v>2</v>
      </c>
      <c r="H36" s="14" t="n">
        <f aca="false">F36+G36/1440</f>
        <v>0.45625</v>
      </c>
      <c r="I36" s="9" t="s">
        <v>113</v>
      </c>
      <c r="J36" s="15"/>
      <c r="K36" s="16"/>
      <c r="L36" s="17"/>
    </row>
    <row r="37" customFormat="false" ht="29.85" hidden="false" customHeight="false" outlineLevel="0" collapsed="false">
      <c r="A37" s="9" t="s">
        <v>120</v>
      </c>
      <c r="B37" s="10"/>
      <c r="C37" s="11" t="s">
        <v>121</v>
      </c>
      <c r="D37" s="19" t="s">
        <v>122</v>
      </c>
      <c r="E37" s="13" t="s">
        <v>23</v>
      </c>
      <c r="F37" s="14" t="n">
        <f aca="false">H36</f>
        <v>0.45625</v>
      </c>
      <c r="G37" s="9" t="n">
        <v>2</v>
      </c>
      <c r="H37" s="14" t="n">
        <f aca="false">F37+G37/1440</f>
        <v>0.457638888888889</v>
      </c>
      <c r="I37" s="9" t="s">
        <v>116</v>
      </c>
      <c r="J37" s="15"/>
      <c r="K37" s="16"/>
      <c r="L37" s="17"/>
    </row>
    <row r="38" customFormat="false" ht="15" hidden="false" customHeight="false" outlineLevel="0" collapsed="false">
      <c r="A38" s="9" t="s">
        <v>123</v>
      </c>
      <c r="B38" s="10"/>
      <c r="C38" s="11" t="s">
        <v>124</v>
      </c>
      <c r="D38" s="12" t="s">
        <v>125</v>
      </c>
      <c r="E38" s="13" t="s">
        <v>82</v>
      </c>
      <c r="F38" s="14" t="n">
        <f aca="false">H37</f>
        <v>0.457638888888889</v>
      </c>
      <c r="G38" s="9" t="n">
        <v>1</v>
      </c>
      <c r="H38" s="14" t="n">
        <f aca="false">F38+G38/1440</f>
        <v>0.458333333333333</v>
      </c>
      <c r="I38" s="9" t="s">
        <v>120</v>
      </c>
      <c r="J38" s="15"/>
      <c r="K38" s="16"/>
      <c r="L38" s="17"/>
    </row>
    <row r="39" customFormat="false" ht="24" hidden="false" customHeight="true" outlineLevel="0" collapsed="false">
      <c r="A39" s="21"/>
      <c r="B39" s="21"/>
      <c r="C39" s="22" t="s">
        <v>126</v>
      </c>
      <c r="D39" s="21"/>
      <c r="E39" s="21"/>
      <c r="F39" s="23" t="n">
        <f aca="false">F8</f>
        <v>0.375</v>
      </c>
      <c r="G39" s="21" t="n">
        <f aca="false">SUM(G8:G38)</f>
        <v>120</v>
      </c>
      <c r="H39" s="23" t="n">
        <f aca="false">H38</f>
        <v>0.458333333333333</v>
      </c>
      <c r="I39" s="22" t="s">
        <v>127</v>
      </c>
      <c r="J39" s="21" t="str">
        <f aca="false">COUNTIF(J8:J38,"완료")&amp;" / "&amp;COUNTA(A8:A38)</f>
        <v>0 / 31</v>
      </c>
      <c r="K39" s="21"/>
      <c r="L39" s="21"/>
    </row>
    <row r="41" customFormat="false" ht="15" hidden="false" customHeight="false" outlineLevel="0" collapsed="false">
      <c r="A41" s="24" t="s">
        <v>128</v>
      </c>
    </row>
    <row r="42" customFormat="false" ht="15" hidden="false" customHeight="false" outlineLevel="0" collapsed="false">
      <c r="A42" s="25" t="s">
        <v>129</v>
      </c>
    </row>
    <row r="43" customFormat="false" ht="15" hidden="false" customHeight="false" outlineLevel="0" collapsed="false">
      <c r="A43" s="25" t="s">
        <v>130</v>
      </c>
    </row>
    <row r="44" customFormat="false" ht="15" hidden="false" customHeight="false" outlineLevel="0" collapsed="false">
      <c r="A44" s="25" t="s">
        <v>131</v>
      </c>
    </row>
    <row r="45" customFormat="false" ht="15" hidden="false" customHeight="false" outlineLevel="0" collapsed="false">
      <c r="A45" s="24" t="s">
        <v>132</v>
      </c>
    </row>
    <row r="46" customFormat="false" ht="15" hidden="false" customHeight="false" outlineLevel="0" collapsed="false">
      <c r="A46" s="25" t="s">
        <v>133</v>
      </c>
    </row>
    <row r="47" customFormat="false" ht="15" hidden="false" customHeight="false" outlineLevel="0" collapsed="false">
      <c r="A47" s="25" t="s">
        <v>134</v>
      </c>
    </row>
    <row r="48" customFormat="false" ht="15" hidden="false" customHeight="false" outlineLevel="0" collapsed="false">
      <c r="A48" s="25" t="s">
        <v>135</v>
      </c>
    </row>
    <row r="49" customFormat="false" ht="15" hidden="false" customHeight="false" outlineLevel="0" collapsed="false">
      <c r="A49" s="25" t="s">
        <v>136</v>
      </c>
    </row>
    <row r="50" customFormat="false" ht="15" hidden="false" customHeight="false" outlineLevel="0" collapsed="false">
      <c r="A50" s="25" t="s">
        <v>137</v>
      </c>
    </row>
    <row r="51" customFormat="false" ht="15" hidden="false" customHeight="false" outlineLevel="0" collapsed="false">
      <c r="A51" s="25" t="s">
        <v>138</v>
      </c>
    </row>
  </sheetData>
  <mergeCells count="13">
    <mergeCell ref="A1:L1"/>
    <mergeCell ref="A2:L2"/>
    <mergeCell ref="A4:B4"/>
    <mergeCell ref="A5:B5"/>
    <mergeCell ref="B8:B12"/>
    <mergeCell ref="B13:B15"/>
    <mergeCell ref="B16:B18"/>
    <mergeCell ref="B19:B22"/>
    <mergeCell ref="B23:B24"/>
    <mergeCell ref="B25:B29"/>
    <mergeCell ref="B30:B32"/>
    <mergeCell ref="B33:B35"/>
    <mergeCell ref="B36:B38"/>
  </mergeCells>
  <conditionalFormatting sqref="J8:J38">
    <cfRule type="cellIs" priority="2" operator="equal" aboveAverage="0" equalAverage="0" bottom="0" percent="0" rank="0" text="" dxfId="0">
      <formula>"완료"</formula>
    </cfRule>
    <cfRule type="cellIs" priority="3" operator="equal" aboveAverage="0" equalAverage="0" bottom="0" percent="0" rank="0" text="" dxfId="1">
      <formula>"이슈"</formula>
    </cfRule>
  </conditionalFormatting>
  <dataValidations count="1">
    <dataValidation allowBlank="true" errorStyle="stop" operator="between" showDropDown="false" showErrorMessage="false" showInputMessage="false" sqref="J8:J38" type="list">
      <formula1>"완료,진행중,이슈,해당없음"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5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7</v>
      </c>
      <c r="B4" s="26" t="s">
        <v>141</v>
      </c>
      <c r="C4" s="26" t="s">
        <v>142</v>
      </c>
      <c r="D4" s="26" t="s">
        <v>143</v>
      </c>
      <c r="E4" s="26" t="s">
        <v>11</v>
      </c>
      <c r="F4" s="26" t="s">
        <v>144</v>
      </c>
      <c r="G4" s="26" t="s">
        <v>16</v>
      </c>
      <c r="H4" s="26" t="s">
        <v>145</v>
      </c>
    </row>
    <row r="5" customFormat="false" ht="15" hidden="false" customHeight="false" outlineLevel="0" collapsed="false">
      <c r="A5" s="27" t="n">
        <v>1</v>
      </c>
      <c r="B5" s="28" t="s">
        <v>146</v>
      </c>
      <c r="C5" s="29" t="s">
        <v>147</v>
      </c>
      <c r="D5" s="30" t="s">
        <v>148</v>
      </c>
      <c r="E5" s="28" t="s">
        <v>23</v>
      </c>
      <c r="F5" s="27" t="s">
        <v>149</v>
      </c>
      <c r="G5" s="15"/>
      <c r="H5" s="17"/>
    </row>
    <row r="6" customFormat="false" ht="15" hidden="false" customHeight="false" outlineLevel="0" collapsed="false">
      <c r="A6" s="9" t="n">
        <v>2</v>
      </c>
      <c r="B6" s="13" t="s">
        <v>146</v>
      </c>
      <c r="C6" s="11" t="s">
        <v>150</v>
      </c>
      <c r="D6" s="12" t="s">
        <v>151</v>
      </c>
      <c r="E6" s="13" t="s">
        <v>23</v>
      </c>
      <c r="F6" s="9" t="s">
        <v>149</v>
      </c>
      <c r="G6" s="15"/>
      <c r="H6" s="17"/>
    </row>
    <row r="7" customFormat="false" ht="15" hidden="false" customHeight="false" outlineLevel="0" collapsed="false">
      <c r="A7" s="27" t="n">
        <v>3</v>
      </c>
      <c r="B7" s="28" t="s">
        <v>146</v>
      </c>
      <c r="C7" s="29" t="s">
        <v>152</v>
      </c>
      <c r="D7" s="30" t="s">
        <v>153</v>
      </c>
      <c r="E7" s="28" t="s">
        <v>23</v>
      </c>
      <c r="F7" s="27" t="s">
        <v>149</v>
      </c>
      <c r="G7" s="15"/>
      <c r="H7" s="17"/>
    </row>
    <row r="8" customFormat="false" ht="29.85" hidden="false" customHeight="false" outlineLevel="0" collapsed="false">
      <c r="A8" s="9" t="n">
        <v>4</v>
      </c>
      <c r="B8" s="13" t="s">
        <v>154</v>
      </c>
      <c r="C8" s="11" t="s">
        <v>155</v>
      </c>
      <c r="D8" s="12" t="s">
        <v>156</v>
      </c>
      <c r="E8" s="13" t="s">
        <v>23</v>
      </c>
      <c r="F8" s="9" t="s">
        <v>149</v>
      </c>
      <c r="G8" s="15"/>
      <c r="H8" s="17"/>
    </row>
    <row r="9" customFormat="false" ht="15" hidden="false" customHeight="false" outlineLevel="0" collapsed="false">
      <c r="A9" s="27" t="n">
        <v>5</v>
      </c>
      <c r="B9" s="28" t="s">
        <v>154</v>
      </c>
      <c r="C9" s="29" t="s">
        <v>157</v>
      </c>
      <c r="D9" s="30" t="s">
        <v>158</v>
      </c>
      <c r="E9" s="28" t="s">
        <v>23</v>
      </c>
      <c r="F9" s="27" t="s">
        <v>149</v>
      </c>
      <c r="G9" s="15"/>
      <c r="H9" s="17"/>
    </row>
    <row r="10" customFormat="false" ht="15" hidden="false" customHeight="false" outlineLevel="0" collapsed="false">
      <c r="A10" s="9" t="n">
        <v>6</v>
      </c>
      <c r="B10" s="13" t="s">
        <v>154</v>
      </c>
      <c r="C10" s="11" t="s">
        <v>159</v>
      </c>
      <c r="D10" s="12" t="s">
        <v>160</v>
      </c>
      <c r="E10" s="13" t="s">
        <v>23</v>
      </c>
      <c r="F10" s="9" t="s">
        <v>149</v>
      </c>
      <c r="G10" s="15"/>
      <c r="H10" s="17"/>
    </row>
    <row r="11" customFormat="false" ht="15" hidden="false" customHeight="false" outlineLevel="0" collapsed="false">
      <c r="A11" s="27" t="n">
        <v>7</v>
      </c>
      <c r="B11" s="28" t="s">
        <v>154</v>
      </c>
      <c r="C11" s="29" t="s">
        <v>161</v>
      </c>
      <c r="D11" s="30" t="s">
        <v>162</v>
      </c>
      <c r="E11" s="28" t="s">
        <v>23</v>
      </c>
      <c r="F11" s="27" t="s">
        <v>149</v>
      </c>
      <c r="G11" s="15"/>
      <c r="H11" s="17"/>
    </row>
    <row r="12" customFormat="false" ht="15" hidden="false" customHeight="false" outlineLevel="0" collapsed="false">
      <c r="A12" s="9" t="n">
        <v>8</v>
      </c>
      <c r="B12" s="13" t="s">
        <v>163</v>
      </c>
      <c r="C12" s="11" t="s">
        <v>164</v>
      </c>
      <c r="D12" s="19" t="s">
        <v>165</v>
      </c>
      <c r="E12" s="13" t="s">
        <v>23</v>
      </c>
      <c r="F12" s="9" t="s">
        <v>149</v>
      </c>
      <c r="G12" s="15"/>
      <c r="H12" s="17"/>
    </row>
    <row r="13" customFormat="false" ht="15" hidden="false" customHeight="false" outlineLevel="0" collapsed="false">
      <c r="A13" s="27" t="n">
        <v>9</v>
      </c>
      <c r="B13" s="28" t="s">
        <v>163</v>
      </c>
      <c r="C13" s="29" t="s">
        <v>49</v>
      </c>
      <c r="D13" s="30" t="s">
        <v>50</v>
      </c>
      <c r="E13" s="28" t="s">
        <v>23</v>
      </c>
      <c r="F13" s="27" t="s">
        <v>149</v>
      </c>
      <c r="G13" s="15"/>
      <c r="H13" s="17"/>
    </row>
    <row r="14" customFormat="false" ht="15" hidden="false" customHeight="false" outlineLevel="0" collapsed="false">
      <c r="A14" s="9" t="n">
        <v>10</v>
      </c>
      <c r="B14" s="13" t="s">
        <v>74</v>
      </c>
      <c r="C14" s="11" t="s">
        <v>166</v>
      </c>
      <c r="D14" s="12" t="s">
        <v>167</v>
      </c>
      <c r="E14" s="13" t="s">
        <v>74</v>
      </c>
      <c r="F14" s="9" t="s">
        <v>149</v>
      </c>
      <c r="G14" s="15"/>
      <c r="H14" s="17"/>
    </row>
    <row r="15" customFormat="false" ht="15" hidden="false" customHeight="false" outlineLevel="0" collapsed="false">
      <c r="A15" s="27" t="n">
        <v>11</v>
      </c>
      <c r="B15" s="28" t="s">
        <v>74</v>
      </c>
      <c r="C15" s="29" t="s">
        <v>168</v>
      </c>
      <c r="D15" s="31" t="s">
        <v>169</v>
      </c>
      <c r="E15" s="28" t="s">
        <v>74</v>
      </c>
      <c r="F15" s="27" t="s">
        <v>149</v>
      </c>
      <c r="G15" s="15"/>
      <c r="H15" s="17"/>
    </row>
    <row r="16" customFormat="false" ht="15" hidden="false" customHeight="false" outlineLevel="0" collapsed="false">
      <c r="A16" s="9" t="n">
        <v>12</v>
      </c>
      <c r="B16" s="13" t="s">
        <v>74</v>
      </c>
      <c r="C16" s="18" t="s">
        <v>170</v>
      </c>
      <c r="D16" s="12" t="s">
        <v>171</v>
      </c>
      <c r="E16" s="13" t="s">
        <v>74</v>
      </c>
      <c r="F16" s="9" t="s">
        <v>149</v>
      </c>
      <c r="G16" s="15"/>
      <c r="H16" s="17"/>
    </row>
    <row r="17" customFormat="false" ht="15" hidden="false" customHeight="false" outlineLevel="0" collapsed="false">
      <c r="A17" s="27" t="n">
        <v>13</v>
      </c>
      <c r="B17" s="28" t="s">
        <v>74</v>
      </c>
      <c r="C17" s="29" t="s">
        <v>172</v>
      </c>
      <c r="D17" s="30" t="s">
        <v>173</v>
      </c>
      <c r="E17" s="28" t="s">
        <v>74</v>
      </c>
      <c r="F17" s="27" t="s">
        <v>149</v>
      </c>
      <c r="G17" s="15"/>
      <c r="H17" s="17"/>
    </row>
    <row r="18" customFormat="false" ht="15" hidden="false" customHeight="false" outlineLevel="0" collapsed="false">
      <c r="A18" s="9" t="n">
        <v>14</v>
      </c>
      <c r="B18" s="13" t="s">
        <v>174</v>
      </c>
      <c r="C18" s="11" t="s">
        <v>175</v>
      </c>
      <c r="D18" s="12" t="s">
        <v>176</v>
      </c>
      <c r="E18" s="13" t="s">
        <v>82</v>
      </c>
      <c r="F18" s="9" t="s">
        <v>149</v>
      </c>
      <c r="G18" s="15"/>
      <c r="H18" s="17"/>
    </row>
    <row r="19" customFormat="false" ht="15" hidden="false" customHeight="false" outlineLevel="0" collapsed="false">
      <c r="A19" s="27" t="n">
        <v>15</v>
      </c>
      <c r="B19" s="28" t="s">
        <v>174</v>
      </c>
      <c r="C19" s="29" t="s">
        <v>177</v>
      </c>
      <c r="D19" s="30" t="s">
        <v>178</v>
      </c>
      <c r="E19" s="28" t="s">
        <v>23</v>
      </c>
      <c r="F19" s="27" t="s">
        <v>149</v>
      </c>
      <c r="G19" s="15"/>
      <c r="H19" s="17"/>
    </row>
    <row r="20" customFormat="false" ht="15" hidden="false" customHeight="false" outlineLevel="0" collapsed="false">
      <c r="A20" s="9" t="n">
        <v>16</v>
      </c>
      <c r="B20" s="13" t="s">
        <v>82</v>
      </c>
      <c r="C20" s="11" t="s">
        <v>179</v>
      </c>
      <c r="D20" s="12" t="s">
        <v>180</v>
      </c>
      <c r="E20" s="13" t="s">
        <v>82</v>
      </c>
      <c r="F20" s="9" t="s">
        <v>149</v>
      </c>
      <c r="G20" s="15"/>
      <c r="H20" s="17"/>
    </row>
    <row r="21" customFormat="false" ht="15" hidden="false" customHeight="false" outlineLevel="0" collapsed="false">
      <c r="A21" s="27" t="n">
        <v>17</v>
      </c>
      <c r="B21" s="28" t="s">
        <v>82</v>
      </c>
      <c r="C21" s="29" t="s">
        <v>181</v>
      </c>
      <c r="D21" s="30" t="s">
        <v>182</v>
      </c>
      <c r="E21" s="28" t="s">
        <v>82</v>
      </c>
      <c r="F21" s="27" t="s">
        <v>149</v>
      </c>
      <c r="G21" s="15"/>
      <c r="H21" s="17"/>
    </row>
    <row r="22" customFormat="false" ht="15" hidden="false" customHeight="false" outlineLevel="0" collapsed="false">
      <c r="A22" s="9" t="n">
        <v>18</v>
      </c>
      <c r="B22" s="13" t="s">
        <v>82</v>
      </c>
      <c r="C22" s="18" t="s">
        <v>183</v>
      </c>
      <c r="D22" s="12" t="s">
        <v>184</v>
      </c>
      <c r="E22" s="13" t="s">
        <v>82</v>
      </c>
      <c r="F22" s="9" t="s">
        <v>149</v>
      </c>
      <c r="G22" s="15"/>
      <c r="H22" s="17"/>
    </row>
    <row r="23" customFormat="false" ht="15" hidden="false" customHeight="false" outlineLevel="0" collapsed="false">
      <c r="F23" s="32" t="s">
        <v>127</v>
      </c>
      <c r="G23" s="33" t="str">
        <f aca="false">COUNTIF(G5:G22,"완료")&amp;" / "&amp;COUNTA(A5:A22)</f>
        <v>0 / 18</v>
      </c>
    </row>
  </sheetData>
  <mergeCells count="2">
    <mergeCell ref="A1:H1"/>
    <mergeCell ref="A2:H2"/>
  </mergeCells>
  <conditionalFormatting sqref="G5:G22">
    <cfRule type="cellIs" priority="2" operator="equal" aboveAverage="0" equalAverage="0" bottom="0" percent="0" rank="0" text="" dxfId="0">
      <formula>"완료"</formula>
    </cfRule>
  </conditionalFormatting>
  <dataValidations count="1">
    <dataValidation allowBlank="true" errorStyle="stop" operator="between" showDropDown="false" showErrorMessage="false" showInputMessage="false" sqref="G5:G22" type="list">
      <formula1>"완료,진행중,이슈,해당없음"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25.5" hidden="false" customHeight="true" outlineLevel="0" collapsed="false">
      <c r="A1" s="34" t="s">
        <v>185</v>
      </c>
      <c r="B1" s="34"/>
      <c r="C1" s="34"/>
      <c r="D1" s="34"/>
      <c r="E1" s="34"/>
      <c r="F1" s="34"/>
      <c r="G1" s="34"/>
      <c r="H1" s="34"/>
    </row>
    <row r="2" customFormat="false" ht="18" hidden="false" customHeight="true" outlineLevel="0" collapsed="false">
      <c r="A2" s="2" t="s">
        <v>186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5" t="s">
        <v>187</v>
      </c>
    </row>
    <row r="5" customFormat="false" ht="15" hidden="false" customHeight="false" outlineLevel="0" collapsed="false">
      <c r="A5" s="36" t="s">
        <v>188</v>
      </c>
      <c r="B5" s="36"/>
      <c r="C5" s="36"/>
      <c r="D5" s="36"/>
      <c r="E5" s="36"/>
      <c r="F5" s="36"/>
      <c r="G5" s="36"/>
      <c r="H5" s="36"/>
    </row>
    <row r="6" customFormat="false" ht="15" hidden="false" customHeight="false" outlineLevel="0" collapsed="false">
      <c r="A6" s="36" t="s">
        <v>189</v>
      </c>
      <c r="B6" s="36"/>
      <c r="C6" s="36"/>
      <c r="D6" s="36"/>
      <c r="E6" s="36"/>
      <c r="F6" s="36"/>
      <c r="G6" s="36"/>
      <c r="H6" s="36"/>
    </row>
    <row r="7" customFormat="false" ht="15" hidden="false" customHeight="false" outlineLevel="0" collapsed="false">
      <c r="A7" s="36" t="s">
        <v>190</v>
      </c>
      <c r="B7" s="36"/>
      <c r="C7" s="36"/>
      <c r="D7" s="36"/>
      <c r="E7" s="36"/>
      <c r="F7" s="36"/>
      <c r="G7" s="36"/>
      <c r="H7" s="36"/>
    </row>
    <row r="8" customFormat="false" ht="15" hidden="false" customHeight="false" outlineLevel="0" collapsed="false">
      <c r="A8" s="36" t="s">
        <v>191</v>
      </c>
      <c r="B8" s="36"/>
      <c r="C8" s="36"/>
      <c r="D8" s="36"/>
      <c r="E8" s="36"/>
      <c r="F8" s="36"/>
      <c r="G8" s="36"/>
      <c r="H8" s="36"/>
    </row>
    <row r="10" customFormat="false" ht="30" hidden="false" customHeight="true" outlineLevel="0" collapsed="false">
      <c r="A10" s="37" t="s">
        <v>7</v>
      </c>
      <c r="B10" s="38" t="s">
        <v>192</v>
      </c>
      <c r="C10" s="38" t="s">
        <v>143</v>
      </c>
      <c r="D10" s="38" t="s">
        <v>11</v>
      </c>
      <c r="E10" s="38" t="s">
        <v>13</v>
      </c>
      <c r="F10" s="38" t="s">
        <v>16</v>
      </c>
      <c r="G10" s="38" t="s">
        <v>17</v>
      </c>
      <c r="H10" s="38" t="s">
        <v>145</v>
      </c>
    </row>
    <row r="11" customFormat="false" ht="15" hidden="false" customHeight="false" outlineLevel="0" collapsed="false">
      <c r="A11" s="9" t="n">
        <v>1</v>
      </c>
      <c r="B11" s="11" t="s">
        <v>193</v>
      </c>
      <c r="C11" s="12" t="s">
        <v>194</v>
      </c>
      <c r="D11" s="13" t="s">
        <v>109</v>
      </c>
      <c r="E11" s="9" t="n">
        <v>3</v>
      </c>
      <c r="F11" s="15"/>
      <c r="G11" s="16"/>
      <c r="H11" s="17"/>
    </row>
    <row r="12" customFormat="false" ht="15" hidden="false" customHeight="false" outlineLevel="0" collapsed="false">
      <c r="A12" s="27" t="n">
        <v>2</v>
      </c>
      <c r="B12" s="29" t="s">
        <v>195</v>
      </c>
      <c r="C12" s="31" t="s">
        <v>196</v>
      </c>
      <c r="D12" s="28" t="s">
        <v>74</v>
      </c>
      <c r="E12" s="27" t="n">
        <v>2</v>
      </c>
      <c r="F12" s="15"/>
      <c r="G12" s="16"/>
      <c r="H12" s="17"/>
    </row>
    <row r="13" customFormat="false" ht="15" hidden="false" customHeight="false" outlineLevel="0" collapsed="false">
      <c r="A13" s="9" t="n">
        <v>3</v>
      </c>
      <c r="B13" s="11" t="s">
        <v>197</v>
      </c>
      <c r="C13" s="12" t="s">
        <v>198</v>
      </c>
      <c r="D13" s="13" t="s">
        <v>23</v>
      </c>
      <c r="E13" s="9" t="n">
        <v>3</v>
      </c>
      <c r="F13" s="15"/>
      <c r="G13" s="16"/>
      <c r="H13" s="17"/>
    </row>
    <row r="14" customFormat="false" ht="15" hidden="false" customHeight="false" outlineLevel="0" collapsed="false">
      <c r="A14" s="27" t="n">
        <v>4</v>
      </c>
      <c r="B14" s="29" t="s">
        <v>199</v>
      </c>
      <c r="C14" s="30" t="s">
        <v>200</v>
      </c>
      <c r="D14" s="28" t="s">
        <v>23</v>
      </c>
      <c r="E14" s="27" t="n">
        <v>2</v>
      </c>
      <c r="F14" s="15"/>
      <c r="G14" s="16"/>
      <c r="H14" s="17"/>
    </row>
    <row r="15" customFormat="false" ht="15" hidden="false" customHeight="false" outlineLevel="0" collapsed="false">
      <c r="A15" s="9" t="n">
        <v>5</v>
      </c>
      <c r="B15" s="18" t="s">
        <v>201</v>
      </c>
      <c r="C15" s="12" t="s">
        <v>202</v>
      </c>
      <c r="D15" s="13" t="s">
        <v>23</v>
      </c>
      <c r="E15" s="9" t="n">
        <v>5</v>
      </c>
      <c r="F15" s="15"/>
      <c r="G15" s="16"/>
      <c r="H15" s="17"/>
    </row>
    <row r="16" customFormat="false" ht="15" hidden="false" customHeight="false" outlineLevel="0" collapsed="false">
      <c r="A16" s="27" t="n">
        <v>6</v>
      </c>
      <c r="B16" s="39" t="s">
        <v>203</v>
      </c>
      <c r="C16" s="30" t="s">
        <v>204</v>
      </c>
      <c r="D16" s="28" t="s">
        <v>23</v>
      </c>
      <c r="E16" s="27" t="n">
        <v>5</v>
      </c>
      <c r="F16" s="15"/>
      <c r="G16" s="16"/>
      <c r="H16" s="17"/>
    </row>
    <row r="17" customFormat="false" ht="29.85" hidden="false" customHeight="false" outlineLevel="0" collapsed="false">
      <c r="A17" s="9" t="n">
        <v>7</v>
      </c>
      <c r="B17" s="11" t="s">
        <v>205</v>
      </c>
      <c r="C17" s="12" t="s">
        <v>206</v>
      </c>
      <c r="D17" s="13" t="s">
        <v>23</v>
      </c>
      <c r="E17" s="9" t="n">
        <v>7</v>
      </c>
      <c r="F17" s="15"/>
      <c r="G17" s="16"/>
      <c r="H17" s="17"/>
    </row>
    <row r="18" customFormat="false" ht="15" hidden="false" customHeight="false" outlineLevel="0" collapsed="false">
      <c r="A18" s="27" t="n">
        <v>8</v>
      </c>
      <c r="B18" s="29" t="s">
        <v>207</v>
      </c>
      <c r="C18" s="31" t="s">
        <v>208</v>
      </c>
      <c r="D18" s="28" t="s">
        <v>82</v>
      </c>
      <c r="E18" s="27" t="n">
        <v>2</v>
      </c>
      <c r="F18" s="15"/>
      <c r="G18" s="16"/>
      <c r="H18" s="17"/>
    </row>
    <row r="19" customFormat="false" ht="15" hidden="false" customHeight="false" outlineLevel="0" collapsed="false">
      <c r="A19" s="9" t="n">
        <v>9</v>
      </c>
      <c r="B19" s="11" t="s">
        <v>209</v>
      </c>
      <c r="C19" s="12" t="s">
        <v>210</v>
      </c>
      <c r="D19" s="13" t="s">
        <v>82</v>
      </c>
      <c r="E19" s="9" t="n">
        <v>1</v>
      </c>
      <c r="F19" s="15"/>
      <c r="G19" s="16"/>
      <c r="H19" s="17"/>
    </row>
    <row r="20" customFormat="false" ht="15" hidden="false" customHeight="false" outlineLevel="0" collapsed="false">
      <c r="A20" s="40"/>
      <c r="B20" s="41" t="s">
        <v>126</v>
      </c>
      <c r="C20" s="41"/>
      <c r="D20" s="41"/>
      <c r="E20" s="41" t="n">
        <f aca="false">SUM(E11:E19)</f>
        <v>30</v>
      </c>
      <c r="F20" s="41"/>
      <c r="G20" s="41"/>
      <c r="H20" s="41"/>
    </row>
    <row r="22" customFormat="false" ht="15" hidden="false" customHeight="false" outlineLevel="0" collapsed="false">
      <c r="A22" s="24" t="s">
        <v>211</v>
      </c>
    </row>
    <row r="23" customFormat="false" ht="15" hidden="false" customHeight="false" outlineLevel="0" collapsed="false">
      <c r="A23" s="25" t="s">
        <v>212</v>
      </c>
    </row>
    <row r="24" customFormat="false" ht="15" hidden="false" customHeight="false" outlineLevel="0" collapsed="false">
      <c r="A24" s="25" t="s">
        <v>213</v>
      </c>
    </row>
    <row r="25" customFormat="false" ht="15" hidden="false" customHeight="false" outlineLevel="0" collapsed="false">
      <c r="A25" s="25" t="s">
        <v>214</v>
      </c>
    </row>
    <row r="26" customFormat="false" ht="15" hidden="false" customHeight="false" outlineLevel="0" collapsed="false">
      <c r="A26" s="25" t="s">
        <v>215</v>
      </c>
    </row>
  </sheetData>
  <mergeCells count="6">
    <mergeCell ref="A1:H1"/>
    <mergeCell ref="A2:H2"/>
    <mergeCell ref="A5:H5"/>
    <mergeCell ref="A6:H6"/>
    <mergeCell ref="A7:H7"/>
    <mergeCell ref="A8:H8"/>
  </mergeCells>
  <dataValidations count="1">
    <dataValidation allowBlank="true" errorStyle="stop" operator="between" showDropDown="false" showErrorMessage="false" showInputMessage="false" sqref="F11:F19" type="list">
      <formula1>"완료,진행중,이슈,해당없음"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217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20" t="s">
        <v>7</v>
      </c>
      <c r="B4" s="42" t="s">
        <v>141</v>
      </c>
      <c r="C4" s="42" t="s">
        <v>218</v>
      </c>
      <c r="D4" s="42" t="s">
        <v>219</v>
      </c>
      <c r="E4" s="42" t="s">
        <v>220</v>
      </c>
      <c r="F4" s="42" t="s">
        <v>11</v>
      </c>
      <c r="G4" s="42" t="s">
        <v>221</v>
      </c>
      <c r="H4" s="42" t="s">
        <v>222</v>
      </c>
      <c r="I4" s="42" t="s">
        <v>18</v>
      </c>
    </row>
    <row r="5" customFormat="false" ht="15" hidden="false" customHeight="false" outlineLevel="0" collapsed="false">
      <c r="A5" s="27" t="n">
        <v>1</v>
      </c>
      <c r="B5" s="28" t="s">
        <v>223</v>
      </c>
      <c r="C5" s="39" t="s">
        <v>224</v>
      </c>
      <c r="D5" s="30" t="s">
        <v>225</v>
      </c>
      <c r="E5" s="30" t="s">
        <v>226</v>
      </c>
      <c r="F5" s="28" t="s">
        <v>82</v>
      </c>
      <c r="G5" s="15"/>
      <c r="H5" s="16"/>
      <c r="I5" s="17"/>
    </row>
    <row r="6" customFormat="false" ht="15" hidden="false" customHeight="false" outlineLevel="0" collapsed="false">
      <c r="A6" s="9" t="n">
        <v>2</v>
      </c>
      <c r="B6" s="13" t="s">
        <v>223</v>
      </c>
      <c r="C6" s="11" t="s">
        <v>227</v>
      </c>
      <c r="D6" s="12" t="s">
        <v>228</v>
      </c>
      <c r="E6" s="12" t="s">
        <v>229</v>
      </c>
      <c r="F6" s="13" t="s">
        <v>82</v>
      </c>
      <c r="G6" s="15"/>
      <c r="H6" s="16"/>
      <c r="I6" s="17"/>
    </row>
    <row r="7" customFormat="false" ht="29.85" hidden="false" customHeight="false" outlineLevel="0" collapsed="false">
      <c r="A7" s="27" t="n">
        <v>3</v>
      </c>
      <c r="B7" s="28" t="s">
        <v>230</v>
      </c>
      <c r="C7" s="29" t="s">
        <v>231</v>
      </c>
      <c r="D7" s="30" t="s">
        <v>232</v>
      </c>
      <c r="E7" s="30" t="s">
        <v>233</v>
      </c>
      <c r="F7" s="28" t="s">
        <v>82</v>
      </c>
      <c r="G7" s="15"/>
      <c r="H7" s="16"/>
      <c r="I7" s="17"/>
    </row>
    <row r="8" customFormat="false" ht="15" hidden="false" customHeight="false" outlineLevel="0" collapsed="false">
      <c r="A8" s="9" t="n">
        <v>4</v>
      </c>
      <c r="B8" s="13" t="s">
        <v>230</v>
      </c>
      <c r="C8" s="11" t="s">
        <v>234</v>
      </c>
      <c r="D8" s="12" t="s">
        <v>235</v>
      </c>
      <c r="E8" s="12" t="s">
        <v>236</v>
      </c>
      <c r="F8" s="13" t="s">
        <v>82</v>
      </c>
      <c r="G8" s="15"/>
      <c r="H8" s="16"/>
      <c r="I8" s="17"/>
    </row>
    <row r="9" customFormat="false" ht="15" hidden="false" customHeight="false" outlineLevel="0" collapsed="false">
      <c r="A9" s="27" t="n">
        <v>5</v>
      </c>
      <c r="B9" s="28" t="s">
        <v>230</v>
      </c>
      <c r="C9" s="29" t="s">
        <v>237</v>
      </c>
      <c r="D9" s="30" t="s">
        <v>238</v>
      </c>
      <c r="E9" s="30" t="s">
        <v>239</v>
      </c>
      <c r="F9" s="28" t="s">
        <v>82</v>
      </c>
      <c r="G9" s="15"/>
      <c r="H9" s="16"/>
      <c r="I9" s="17"/>
    </row>
    <row r="10" customFormat="false" ht="15" hidden="false" customHeight="false" outlineLevel="0" collapsed="false">
      <c r="A10" s="9" t="n">
        <v>6</v>
      </c>
      <c r="B10" s="13" t="s">
        <v>230</v>
      </c>
      <c r="C10" s="11" t="s">
        <v>240</v>
      </c>
      <c r="D10" s="12" t="s">
        <v>241</v>
      </c>
      <c r="E10" s="12" t="s">
        <v>242</v>
      </c>
      <c r="F10" s="13" t="s">
        <v>82</v>
      </c>
      <c r="G10" s="15"/>
      <c r="H10" s="16"/>
      <c r="I10" s="17"/>
    </row>
    <row r="11" customFormat="false" ht="15" hidden="false" customHeight="false" outlineLevel="0" collapsed="false">
      <c r="A11" s="27" t="n">
        <v>7</v>
      </c>
      <c r="B11" s="28" t="s">
        <v>243</v>
      </c>
      <c r="C11" s="29" t="s">
        <v>244</v>
      </c>
      <c r="D11" s="30" t="s">
        <v>245</v>
      </c>
      <c r="E11" s="30" t="s">
        <v>246</v>
      </c>
      <c r="F11" s="28" t="s">
        <v>82</v>
      </c>
      <c r="G11" s="15"/>
      <c r="H11" s="16"/>
      <c r="I11" s="17"/>
    </row>
    <row r="12" customFormat="false" ht="15" hidden="false" customHeight="false" outlineLevel="0" collapsed="false">
      <c r="A12" s="9" t="n">
        <v>8</v>
      </c>
      <c r="B12" s="13" t="s">
        <v>243</v>
      </c>
      <c r="C12" s="11" t="s">
        <v>247</v>
      </c>
      <c r="D12" s="12" t="s">
        <v>248</v>
      </c>
      <c r="E12" s="12" t="s">
        <v>249</v>
      </c>
      <c r="F12" s="13" t="s">
        <v>82</v>
      </c>
      <c r="G12" s="15"/>
      <c r="H12" s="16"/>
      <c r="I12" s="17"/>
    </row>
    <row r="13" customFormat="false" ht="15" hidden="false" customHeight="false" outlineLevel="0" collapsed="false">
      <c r="A13" s="27" t="n">
        <v>9</v>
      </c>
      <c r="B13" s="28" t="s">
        <v>243</v>
      </c>
      <c r="C13" s="29" t="s">
        <v>250</v>
      </c>
      <c r="D13" s="30" t="s">
        <v>251</v>
      </c>
      <c r="E13" s="30" t="s">
        <v>252</v>
      </c>
      <c r="F13" s="28" t="s">
        <v>82</v>
      </c>
      <c r="G13" s="15"/>
      <c r="H13" s="16"/>
      <c r="I13" s="17"/>
    </row>
    <row r="14" customFormat="false" ht="15" hidden="false" customHeight="false" outlineLevel="0" collapsed="false">
      <c r="A14" s="9" t="n">
        <v>10</v>
      </c>
      <c r="B14" s="13" t="s">
        <v>243</v>
      </c>
      <c r="C14" s="11" t="s">
        <v>253</v>
      </c>
      <c r="D14" s="19" t="s">
        <v>254</v>
      </c>
      <c r="E14" s="12" t="s">
        <v>255</v>
      </c>
      <c r="F14" s="13" t="s">
        <v>82</v>
      </c>
      <c r="G14" s="15"/>
      <c r="H14" s="16"/>
      <c r="I14" s="17"/>
    </row>
    <row r="15" customFormat="false" ht="15" hidden="false" customHeight="false" outlineLevel="0" collapsed="false">
      <c r="A15" s="27" t="n">
        <v>11</v>
      </c>
      <c r="B15" s="28" t="s">
        <v>243</v>
      </c>
      <c r="C15" s="29" t="s">
        <v>256</v>
      </c>
      <c r="D15" s="30" t="s">
        <v>257</v>
      </c>
      <c r="E15" s="30" t="s">
        <v>258</v>
      </c>
      <c r="F15" s="28" t="s">
        <v>82</v>
      </c>
      <c r="G15" s="15"/>
      <c r="H15" s="16"/>
      <c r="I15" s="17"/>
    </row>
    <row r="16" customFormat="false" ht="15" hidden="false" customHeight="false" outlineLevel="0" collapsed="false">
      <c r="A16" s="9" t="n">
        <v>12</v>
      </c>
      <c r="B16" s="13" t="s">
        <v>243</v>
      </c>
      <c r="C16" s="11" t="s">
        <v>259</v>
      </c>
      <c r="D16" s="12" t="s">
        <v>260</v>
      </c>
      <c r="E16" s="19" t="s">
        <v>261</v>
      </c>
      <c r="F16" s="13" t="s">
        <v>82</v>
      </c>
      <c r="G16" s="15"/>
      <c r="H16" s="16"/>
      <c r="I16" s="17"/>
    </row>
    <row r="17" customFormat="false" ht="15" hidden="false" customHeight="false" outlineLevel="0" collapsed="false">
      <c r="A17" s="27" t="n">
        <v>13</v>
      </c>
      <c r="B17" s="28" t="s">
        <v>243</v>
      </c>
      <c r="C17" s="29" t="s">
        <v>262</v>
      </c>
      <c r="D17" s="30" t="s">
        <v>263</v>
      </c>
      <c r="E17" s="30" t="s">
        <v>264</v>
      </c>
      <c r="F17" s="28" t="s">
        <v>82</v>
      </c>
      <c r="G17" s="15"/>
      <c r="H17" s="16"/>
      <c r="I17" s="17"/>
    </row>
    <row r="18" customFormat="false" ht="15" hidden="false" customHeight="false" outlineLevel="0" collapsed="false">
      <c r="A18" s="9" t="n">
        <v>14</v>
      </c>
      <c r="B18" s="13" t="s">
        <v>265</v>
      </c>
      <c r="C18" s="11" t="s">
        <v>266</v>
      </c>
      <c r="D18" s="12" t="s">
        <v>267</v>
      </c>
      <c r="E18" s="12" t="s">
        <v>268</v>
      </c>
      <c r="F18" s="13" t="s">
        <v>82</v>
      </c>
      <c r="G18" s="15"/>
      <c r="H18" s="16"/>
      <c r="I18" s="17"/>
    </row>
    <row r="19" customFormat="false" ht="15" hidden="false" customHeight="false" outlineLevel="0" collapsed="false">
      <c r="A19" s="27" t="n">
        <v>15</v>
      </c>
      <c r="B19" s="28" t="s">
        <v>265</v>
      </c>
      <c r="C19" s="29" t="s">
        <v>269</v>
      </c>
      <c r="D19" s="30" t="s">
        <v>270</v>
      </c>
      <c r="E19" s="30" t="s">
        <v>271</v>
      </c>
      <c r="F19" s="28" t="s">
        <v>82</v>
      </c>
      <c r="G19" s="15"/>
      <c r="H19" s="16"/>
      <c r="I19" s="17"/>
    </row>
    <row r="20" customFormat="false" ht="15" hidden="false" customHeight="false" outlineLevel="0" collapsed="false">
      <c r="A20" s="9" t="n">
        <v>16</v>
      </c>
      <c r="B20" s="13" t="s">
        <v>265</v>
      </c>
      <c r="C20" s="11" t="s">
        <v>272</v>
      </c>
      <c r="D20" s="12" t="s">
        <v>273</v>
      </c>
      <c r="E20" s="12" t="s">
        <v>274</v>
      </c>
      <c r="F20" s="13" t="s">
        <v>82</v>
      </c>
      <c r="G20" s="15"/>
      <c r="H20" s="16"/>
      <c r="I20" s="17"/>
    </row>
    <row r="21" customFormat="false" ht="15" hidden="false" customHeight="false" outlineLevel="0" collapsed="false">
      <c r="A21" s="27" t="n">
        <v>17</v>
      </c>
      <c r="B21" s="28" t="s">
        <v>265</v>
      </c>
      <c r="C21" s="29" t="s">
        <v>275</v>
      </c>
      <c r="D21" s="30" t="s">
        <v>276</v>
      </c>
      <c r="E21" s="30" t="s">
        <v>277</v>
      </c>
      <c r="F21" s="28" t="s">
        <v>82</v>
      </c>
      <c r="G21" s="15"/>
      <c r="H21" s="16"/>
      <c r="I21" s="17"/>
    </row>
    <row r="22" customFormat="false" ht="15" hidden="false" customHeight="false" outlineLevel="0" collapsed="false">
      <c r="A22" s="9" t="n">
        <v>18</v>
      </c>
      <c r="B22" s="13" t="s">
        <v>265</v>
      </c>
      <c r="C22" s="11" t="s">
        <v>278</v>
      </c>
      <c r="D22" s="12" t="s">
        <v>279</v>
      </c>
      <c r="E22" s="12" t="s">
        <v>280</v>
      </c>
      <c r="F22" s="13" t="s">
        <v>82</v>
      </c>
      <c r="G22" s="15"/>
      <c r="H22" s="16"/>
      <c r="I22" s="17"/>
    </row>
    <row r="23" customFormat="false" ht="15" hidden="false" customHeight="false" outlineLevel="0" collapsed="false">
      <c r="A23" s="27" t="n">
        <v>19</v>
      </c>
      <c r="B23" s="28" t="s">
        <v>265</v>
      </c>
      <c r="C23" s="29" t="s">
        <v>281</v>
      </c>
      <c r="D23" s="30" t="s">
        <v>282</v>
      </c>
      <c r="E23" s="30" t="s">
        <v>283</v>
      </c>
      <c r="F23" s="28" t="s">
        <v>82</v>
      </c>
      <c r="G23" s="15"/>
      <c r="H23" s="16"/>
      <c r="I23" s="17"/>
    </row>
    <row r="24" customFormat="false" ht="15" hidden="false" customHeight="false" outlineLevel="0" collapsed="false">
      <c r="A24" s="9" t="n">
        <v>20</v>
      </c>
      <c r="B24" s="13" t="s">
        <v>284</v>
      </c>
      <c r="C24" s="11" t="s">
        <v>285</v>
      </c>
      <c r="D24" s="12" t="s">
        <v>286</v>
      </c>
      <c r="E24" s="12" t="s">
        <v>287</v>
      </c>
      <c r="F24" s="13" t="s">
        <v>74</v>
      </c>
      <c r="G24" s="15"/>
      <c r="H24" s="16"/>
      <c r="I24" s="17"/>
    </row>
    <row r="25" customFormat="false" ht="15" hidden="false" customHeight="false" outlineLevel="0" collapsed="false">
      <c r="A25" s="27" t="n">
        <v>21</v>
      </c>
      <c r="B25" s="28" t="s">
        <v>284</v>
      </c>
      <c r="C25" s="29" t="s">
        <v>288</v>
      </c>
      <c r="D25" s="31" t="s">
        <v>289</v>
      </c>
      <c r="E25" s="30" t="s">
        <v>290</v>
      </c>
      <c r="F25" s="28" t="s">
        <v>74</v>
      </c>
      <c r="G25" s="15"/>
      <c r="H25" s="16"/>
      <c r="I25" s="17"/>
    </row>
    <row r="26" customFormat="false" ht="15" hidden="false" customHeight="false" outlineLevel="0" collapsed="false">
      <c r="A26" s="9" t="n">
        <v>22</v>
      </c>
      <c r="B26" s="13" t="s">
        <v>284</v>
      </c>
      <c r="C26" s="11" t="s">
        <v>291</v>
      </c>
      <c r="D26" s="12" t="s">
        <v>292</v>
      </c>
      <c r="E26" s="12" t="s">
        <v>293</v>
      </c>
      <c r="F26" s="13" t="s">
        <v>74</v>
      </c>
      <c r="G26" s="15"/>
      <c r="H26" s="16"/>
      <c r="I26" s="17"/>
    </row>
    <row r="27" customFormat="false" ht="15" hidden="false" customHeight="false" outlineLevel="0" collapsed="false">
      <c r="A27" s="27" t="n">
        <v>23</v>
      </c>
      <c r="B27" s="28" t="s">
        <v>284</v>
      </c>
      <c r="C27" s="29" t="s">
        <v>294</v>
      </c>
      <c r="D27" s="30" t="s">
        <v>295</v>
      </c>
      <c r="E27" s="30" t="s">
        <v>296</v>
      </c>
      <c r="F27" s="28" t="s">
        <v>74</v>
      </c>
      <c r="G27" s="15"/>
      <c r="H27" s="16"/>
      <c r="I27" s="17"/>
    </row>
    <row r="28" customFormat="false" ht="15" hidden="false" customHeight="false" outlineLevel="0" collapsed="false">
      <c r="A28" s="9" t="n">
        <v>24</v>
      </c>
      <c r="B28" s="13" t="s">
        <v>297</v>
      </c>
      <c r="C28" s="11" t="s">
        <v>298</v>
      </c>
      <c r="D28" s="19" t="s">
        <v>299</v>
      </c>
      <c r="E28" s="19" t="s">
        <v>300</v>
      </c>
      <c r="F28" s="13" t="s">
        <v>74</v>
      </c>
      <c r="G28" s="15"/>
      <c r="H28" s="16"/>
      <c r="I28" s="17"/>
    </row>
    <row r="29" customFormat="false" ht="15" hidden="false" customHeight="false" outlineLevel="0" collapsed="false">
      <c r="A29" s="27" t="n">
        <v>25</v>
      </c>
      <c r="B29" s="28" t="s">
        <v>297</v>
      </c>
      <c r="C29" s="29" t="s">
        <v>301</v>
      </c>
      <c r="D29" s="30" t="s">
        <v>302</v>
      </c>
      <c r="E29" s="30" t="s">
        <v>303</v>
      </c>
      <c r="F29" s="28" t="s">
        <v>74</v>
      </c>
      <c r="G29" s="15"/>
      <c r="H29" s="16"/>
      <c r="I29" s="17"/>
    </row>
    <row r="30" customFormat="false" ht="15" hidden="false" customHeight="false" outlineLevel="0" collapsed="false">
      <c r="A30" s="9" t="n">
        <v>26</v>
      </c>
      <c r="B30" s="13" t="s">
        <v>297</v>
      </c>
      <c r="C30" s="11" t="s">
        <v>304</v>
      </c>
      <c r="D30" s="12" t="s">
        <v>305</v>
      </c>
      <c r="E30" s="12" t="s">
        <v>306</v>
      </c>
      <c r="F30" s="13" t="s">
        <v>74</v>
      </c>
      <c r="G30" s="15"/>
      <c r="H30" s="16"/>
      <c r="I30" s="17"/>
    </row>
    <row r="31" customFormat="false" ht="15" hidden="false" customHeight="false" outlineLevel="0" collapsed="false">
      <c r="A31" s="27" t="n">
        <v>27</v>
      </c>
      <c r="B31" s="28" t="s">
        <v>297</v>
      </c>
      <c r="C31" s="29" t="s">
        <v>307</v>
      </c>
      <c r="D31" s="30" t="s">
        <v>308</v>
      </c>
      <c r="E31" s="30" t="s">
        <v>309</v>
      </c>
      <c r="F31" s="28" t="s">
        <v>74</v>
      </c>
      <c r="G31" s="15"/>
      <c r="H31" s="16"/>
      <c r="I31" s="17"/>
    </row>
    <row r="32" customFormat="false" ht="15" hidden="false" customHeight="false" outlineLevel="0" collapsed="false">
      <c r="A32" s="9" t="n">
        <v>28</v>
      </c>
      <c r="B32" s="13" t="s">
        <v>297</v>
      </c>
      <c r="C32" s="11" t="s">
        <v>310</v>
      </c>
      <c r="D32" s="12" t="s">
        <v>311</v>
      </c>
      <c r="E32" s="12" t="s">
        <v>312</v>
      </c>
      <c r="F32" s="13" t="s">
        <v>74</v>
      </c>
      <c r="G32" s="15"/>
      <c r="H32" s="16"/>
      <c r="I32" s="17"/>
    </row>
    <row r="33" customFormat="false" ht="15" hidden="false" customHeight="false" outlineLevel="0" collapsed="false">
      <c r="A33" s="27" t="n">
        <v>29</v>
      </c>
      <c r="B33" s="28" t="s">
        <v>297</v>
      </c>
      <c r="C33" s="29" t="s">
        <v>313</v>
      </c>
      <c r="D33" s="30" t="s">
        <v>314</v>
      </c>
      <c r="E33" s="30" t="s">
        <v>315</v>
      </c>
      <c r="F33" s="28" t="s">
        <v>74</v>
      </c>
      <c r="G33" s="15"/>
      <c r="H33" s="16"/>
      <c r="I33" s="17"/>
    </row>
    <row r="34" customFormat="false" ht="15" hidden="false" customHeight="false" outlineLevel="0" collapsed="false">
      <c r="A34" s="9" t="n">
        <v>30</v>
      </c>
      <c r="B34" s="13" t="s">
        <v>297</v>
      </c>
      <c r="C34" s="11" t="s">
        <v>316</v>
      </c>
      <c r="D34" s="12" t="s">
        <v>317</v>
      </c>
      <c r="E34" s="12" t="s">
        <v>318</v>
      </c>
      <c r="F34" s="13" t="s">
        <v>74</v>
      </c>
      <c r="G34" s="15"/>
      <c r="H34" s="16"/>
      <c r="I34" s="17"/>
    </row>
    <row r="35" customFormat="false" ht="15" hidden="false" customHeight="false" outlineLevel="0" collapsed="false">
      <c r="A35" s="27" t="n">
        <v>31</v>
      </c>
      <c r="B35" s="28" t="s">
        <v>297</v>
      </c>
      <c r="C35" s="29" t="s">
        <v>319</v>
      </c>
      <c r="D35" s="30" t="s">
        <v>320</v>
      </c>
      <c r="E35" s="30" t="s">
        <v>321</v>
      </c>
      <c r="F35" s="28" t="s">
        <v>74</v>
      </c>
      <c r="G35" s="15"/>
      <c r="H35" s="16"/>
      <c r="I35" s="17"/>
    </row>
    <row r="36" customFormat="false" ht="15" hidden="false" customHeight="false" outlineLevel="0" collapsed="false">
      <c r="A36" s="9" t="n">
        <v>32</v>
      </c>
      <c r="B36" s="13" t="s">
        <v>297</v>
      </c>
      <c r="C36" s="11" t="s">
        <v>322</v>
      </c>
      <c r="D36" s="12" t="s">
        <v>323</v>
      </c>
      <c r="E36" s="12" t="s">
        <v>324</v>
      </c>
      <c r="F36" s="13" t="s">
        <v>82</v>
      </c>
      <c r="G36" s="15"/>
      <c r="H36" s="16"/>
      <c r="I36" s="17"/>
    </row>
    <row r="37" customFormat="false" ht="15" hidden="false" customHeight="false" outlineLevel="0" collapsed="false">
      <c r="A37" s="27" t="n">
        <v>33</v>
      </c>
      <c r="B37" s="28" t="s">
        <v>325</v>
      </c>
      <c r="C37" s="29" t="s">
        <v>326</v>
      </c>
      <c r="D37" s="30" t="s">
        <v>327</v>
      </c>
      <c r="E37" s="30" t="s">
        <v>328</v>
      </c>
      <c r="F37" s="28" t="s">
        <v>74</v>
      </c>
      <c r="G37" s="15"/>
      <c r="H37" s="16"/>
      <c r="I37" s="17"/>
    </row>
    <row r="38" customFormat="false" ht="15" hidden="false" customHeight="false" outlineLevel="0" collapsed="false">
      <c r="A38" s="9" t="n">
        <v>34</v>
      </c>
      <c r="B38" s="13" t="s">
        <v>329</v>
      </c>
      <c r="C38" s="11" t="s">
        <v>330</v>
      </c>
      <c r="D38" s="19" t="s">
        <v>331</v>
      </c>
      <c r="E38" s="12" t="s">
        <v>332</v>
      </c>
      <c r="F38" s="13" t="s">
        <v>23</v>
      </c>
      <c r="G38" s="15"/>
      <c r="H38" s="16"/>
      <c r="I38" s="17"/>
    </row>
    <row r="39" customFormat="false" ht="15" hidden="false" customHeight="false" outlineLevel="0" collapsed="false">
      <c r="A39" s="27" t="n">
        <v>35</v>
      </c>
      <c r="B39" s="28" t="s">
        <v>329</v>
      </c>
      <c r="C39" s="29" t="s">
        <v>333</v>
      </c>
      <c r="D39" s="31" t="s">
        <v>334</v>
      </c>
      <c r="E39" s="31" t="s">
        <v>335</v>
      </c>
      <c r="F39" s="28" t="s">
        <v>23</v>
      </c>
      <c r="G39" s="15"/>
      <c r="H39" s="16"/>
      <c r="I39" s="17"/>
    </row>
    <row r="40" customFormat="false" ht="15" hidden="false" customHeight="false" outlineLevel="0" collapsed="false">
      <c r="A40" s="9" t="n">
        <v>36</v>
      </c>
      <c r="B40" s="13" t="s">
        <v>329</v>
      </c>
      <c r="C40" s="11" t="s">
        <v>336</v>
      </c>
      <c r="D40" s="19" t="s">
        <v>337</v>
      </c>
      <c r="E40" s="12" t="s">
        <v>338</v>
      </c>
      <c r="F40" s="13" t="s">
        <v>23</v>
      </c>
      <c r="G40" s="15"/>
      <c r="H40" s="16"/>
      <c r="I40" s="17"/>
    </row>
    <row r="41" customFormat="false" ht="15" hidden="false" customHeight="false" outlineLevel="0" collapsed="false">
      <c r="A41" s="27" t="n">
        <v>37</v>
      </c>
      <c r="B41" s="28" t="s">
        <v>329</v>
      </c>
      <c r="C41" s="39" t="s">
        <v>339</v>
      </c>
      <c r="D41" s="31" t="s">
        <v>340</v>
      </c>
      <c r="E41" s="30" t="s">
        <v>341</v>
      </c>
      <c r="F41" s="28" t="s">
        <v>23</v>
      </c>
      <c r="G41" s="15"/>
      <c r="H41" s="16"/>
      <c r="I41" s="17"/>
    </row>
    <row r="42" customFormat="false" ht="15" hidden="false" customHeight="false" outlineLevel="0" collapsed="false">
      <c r="F42" s="32" t="s">
        <v>342</v>
      </c>
      <c r="G42" s="33" t="str">
        <f aca="false">COUNTIF(G5:G41,"정상")&amp;" / "&amp;COUNTA(A5:A41)</f>
        <v>0 / 37</v>
      </c>
    </row>
  </sheetData>
  <mergeCells count="2">
    <mergeCell ref="A1:I1"/>
    <mergeCell ref="A2:I2"/>
  </mergeCells>
  <conditionalFormatting sqref="G5:G41">
    <cfRule type="cellIs" priority="2" operator="equal" aboveAverage="0" equalAverage="0" bottom="0" percent="0" rank="0" text="" dxfId="0">
      <formula>"정상"</formula>
    </cfRule>
    <cfRule type="cellIs" priority="3" operator="equal" aboveAverage="0" equalAverage="0" bottom="0" percent="0" rank="0" text="" dxfId="1">
      <formula>"이상"</formula>
    </cfRule>
  </conditionalFormatting>
  <dataValidations count="1">
    <dataValidation allowBlank="true" errorStyle="stop" operator="between" showDropDown="false" showErrorMessage="false" showInputMessage="false" sqref="G5:G41" type="list">
      <formula1>"정상,이상,미확인,해당없음"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30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34" t="s">
        <v>343</v>
      </c>
      <c r="B1" s="34"/>
      <c r="C1" s="34"/>
      <c r="D1" s="34"/>
      <c r="E1" s="34"/>
      <c r="F1" s="34"/>
      <c r="G1" s="34"/>
      <c r="H1" s="34"/>
      <c r="I1" s="34"/>
    </row>
    <row r="2" customFormat="false" ht="18" hidden="false" customHeight="tru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7" t="s">
        <v>7</v>
      </c>
      <c r="B4" s="8" t="s">
        <v>141</v>
      </c>
      <c r="C4" s="8" t="s">
        <v>345</v>
      </c>
      <c r="D4" s="8" t="s">
        <v>346</v>
      </c>
      <c r="E4" s="8" t="s">
        <v>347</v>
      </c>
      <c r="F4" s="8" t="s">
        <v>348</v>
      </c>
      <c r="G4" s="8" t="s">
        <v>349</v>
      </c>
      <c r="H4" s="8" t="s">
        <v>350</v>
      </c>
      <c r="I4" s="8" t="s">
        <v>145</v>
      </c>
    </row>
    <row r="5" customFormat="false" ht="15" hidden="false" customHeight="false" outlineLevel="0" collapsed="false">
      <c r="A5" s="27" t="n">
        <v>1</v>
      </c>
      <c r="B5" s="28" t="s">
        <v>351</v>
      </c>
      <c r="C5" s="29" t="s">
        <v>352</v>
      </c>
      <c r="D5" s="17"/>
      <c r="E5" s="15"/>
      <c r="F5" s="27" t="n">
        <v>1</v>
      </c>
      <c r="G5" s="27" t="n">
        <v>11</v>
      </c>
      <c r="H5" s="30" t="s">
        <v>353</v>
      </c>
      <c r="I5" s="17"/>
    </row>
    <row r="6" customFormat="false" ht="15" hidden="false" customHeight="false" outlineLevel="0" collapsed="false">
      <c r="A6" s="9" t="n">
        <v>2</v>
      </c>
      <c r="B6" s="13" t="s">
        <v>351</v>
      </c>
      <c r="C6" s="11" t="s">
        <v>354</v>
      </c>
      <c r="D6" s="17"/>
      <c r="E6" s="15"/>
      <c r="F6" s="9" t="n">
        <v>2</v>
      </c>
      <c r="G6" s="9" t="n">
        <v>12</v>
      </c>
      <c r="H6" s="12" t="s">
        <v>355</v>
      </c>
      <c r="I6" s="17"/>
    </row>
    <row r="7" customFormat="false" ht="15" hidden="false" customHeight="false" outlineLevel="0" collapsed="false">
      <c r="A7" s="27" t="n">
        <v>3</v>
      </c>
      <c r="B7" s="28" t="s">
        <v>351</v>
      </c>
      <c r="C7" s="29" t="s">
        <v>356</v>
      </c>
      <c r="D7" s="17"/>
      <c r="E7" s="15"/>
      <c r="F7" s="27" t="n">
        <v>3</v>
      </c>
      <c r="G7" s="27" t="n">
        <v>13</v>
      </c>
      <c r="H7" s="30" t="s">
        <v>357</v>
      </c>
      <c r="I7" s="17"/>
    </row>
    <row r="8" customFormat="false" ht="15" hidden="false" customHeight="false" outlineLevel="0" collapsed="false">
      <c r="A8" s="9" t="n">
        <v>4</v>
      </c>
      <c r="B8" s="9" t="s">
        <v>358</v>
      </c>
      <c r="C8" s="18" t="s">
        <v>359</v>
      </c>
      <c r="D8" s="17"/>
      <c r="E8" s="15"/>
      <c r="F8" s="9" t="n">
        <v>4</v>
      </c>
      <c r="G8" s="9" t="n">
        <v>9</v>
      </c>
      <c r="H8" s="12" t="s">
        <v>360</v>
      </c>
      <c r="I8" s="17"/>
    </row>
    <row r="9" customFormat="false" ht="15" hidden="false" customHeight="false" outlineLevel="0" collapsed="false">
      <c r="A9" s="27" t="n">
        <v>5</v>
      </c>
      <c r="B9" s="27" t="s">
        <v>358</v>
      </c>
      <c r="C9" s="39" t="s">
        <v>361</v>
      </c>
      <c r="D9" s="17"/>
      <c r="E9" s="15"/>
      <c r="F9" s="27" t="n">
        <v>5</v>
      </c>
      <c r="G9" s="27" t="n">
        <v>10</v>
      </c>
      <c r="H9" s="30" t="s">
        <v>360</v>
      </c>
      <c r="I9" s="17"/>
    </row>
    <row r="10" customFormat="false" ht="15" hidden="false" customHeight="false" outlineLevel="0" collapsed="false">
      <c r="A10" s="9" t="n">
        <v>6</v>
      </c>
      <c r="B10" s="9" t="s">
        <v>358</v>
      </c>
      <c r="C10" s="18" t="s">
        <v>362</v>
      </c>
      <c r="D10" s="17"/>
      <c r="E10" s="15"/>
      <c r="F10" s="9" t="n">
        <v>10</v>
      </c>
      <c r="G10" s="9" t="n">
        <v>4</v>
      </c>
      <c r="H10" s="12" t="s">
        <v>363</v>
      </c>
      <c r="I10" s="17"/>
    </row>
    <row r="11" customFormat="false" ht="15" hidden="false" customHeight="false" outlineLevel="0" collapsed="false">
      <c r="A11" s="27" t="n">
        <v>7</v>
      </c>
      <c r="B11" s="27" t="s">
        <v>364</v>
      </c>
      <c r="C11" s="39" t="s">
        <v>365</v>
      </c>
      <c r="D11" s="17"/>
      <c r="E11" s="15"/>
      <c r="F11" s="27" t="n">
        <v>6</v>
      </c>
      <c r="G11" s="27" t="n">
        <v>6</v>
      </c>
      <c r="H11" s="30" t="s">
        <v>360</v>
      </c>
      <c r="I11" s="17"/>
    </row>
    <row r="12" customFormat="false" ht="15" hidden="false" customHeight="false" outlineLevel="0" collapsed="false">
      <c r="A12" s="9" t="n">
        <v>8</v>
      </c>
      <c r="B12" s="9" t="s">
        <v>364</v>
      </c>
      <c r="C12" s="18" t="s">
        <v>366</v>
      </c>
      <c r="D12" s="17"/>
      <c r="E12" s="15"/>
      <c r="F12" s="9" t="n">
        <v>7</v>
      </c>
      <c r="G12" s="9" t="n">
        <v>7</v>
      </c>
      <c r="H12" s="12" t="s">
        <v>360</v>
      </c>
      <c r="I12" s="17"/>
    </row>
    <row r="13" customFormat="false" ht="15" hidden="false" customHeight="false" outlineLevel="0" collapsed="false">
      <c r="A13" s="27" t="n">
        <v>9</v>
      </c>
      <c r="B13" s="27" t="s">
        <v>364</v>
      </c>
      <c r="C13" s="39" t="s">
        <v>367</v>
      </c>
      <c r="D13" s="17"/>
      <c r="E13" s="15"/>
      <c r="F13" s="27" t="n">
        <v>8</v>
      </c>
      <c r="G13" s="27" t="n">
        <v>8</v>
      </c>
      <c r="H13" s="30" t="s">
        <v>360</v>
      </c>
      <c r="I13" s="17"/>
    </row>
    <row r="14" customFormat="false" ht="15" hidden="false" customHeight="false" outlineLevel="0" collapsed="false">
      <c r="A14" s="9" t="n">
        <v>10</v>
      </c>
      <c r="B14" s="9" t="s">
        <v>364</v>
      </c>
      <c r="C14" s="18" t="s">
        <v>368</v>
      </c>
      <c r="D14" s="17"/>
      <c r="E14" s="15"/>
      <c r="F14" s="9" t="n">
        <v>9</v>
      </c>
      <c r="G14" s="9" t="n">
        <v>5</v>
      </c>
      <c r="H14" s="12" t="s">
        <v>369</v>
      </c>
      <c r="I14" s="17"/>
    </row>
    <row r="15" customFormat="false" ht="15" hidden="false" customHeight="false" outlineLevel="0" collapsed="false">
      <c r="A15" s="27" t="n">
        <v>11</v>
      </c>
      <c r="B15" s="27" t="s">
        <v>364</v>
      </c>
      <c r="C15" s="39" t="s">
        <v>370</v>
      </c>
      <c r="D15" s="17"/>
      <c r="E15" s="15"/>
      <c r="F15" s="27" t="n">
        <v>11</v>
      </c>
      <c r="G15" s="27" t="n">
        <v>3</v>
      </c>
      <c r="H15" s="30" t="s">
        <v>371</v>
      </c>
      <c r="I15" s="17"/>
    </row>
    <row r="16" customFormat="false" ht="15" hidden="false" customHeight="false" outlineLevel="0" collapsed="false">
      <c r="A16" s="9" t="n">
        <v>12</v>
      </c>
      <c r="B16" s="13" t="s">
        <v>154</v>
      </c>
      <c r="C16" s="18" t="s">
        <v>372</v>
      </c>
      <c r="D16" s="17"/>
      <c r="E16" s="15"/>
      <c r="F16" s="9" t="n">
        <v>12</v>
      </c>
      <c r="G16" s="9" t="n">
        <v>1</v>
      </c>
      <c r="H16" s="12" t="s">
        <v>373</v>
      </c>
      <c r="I16" s="17"/>
    </row>
    <row r="17" customFormat="false" ht="15" hidden="false" customHeight="false" outlineLevel="0" collapsed="false">
      <c r="A17" s="27" t="n">
        <v>13</v>
      </c>
      <c r="B17" s="28" t="s">
        <v>154</v>
      </c>
      <c r="C17" s="39" t="s">
        <v>374</v>
      </c>
      <c r="D17" s="17"/>
      <c r="E17" s="15"/>
      <c r="F17" s="27" t="n">
        <v>13</v>
      </c>
      <c r="G17" s="27" t="n">
        <v>2</v>
      </c>
      <c r="H17" s="30" t="s">
        <v>375</v>
      </c>
      <c r="I17" s="17"/>
    </row>
    <row r="18" customFormat="false" ht="15" hidden="false" customHeight="false" outlineLevel="0" collapsed="false">
      <c r="A18" s="9" t="n">
        <v>14</v>
      </c>
      <c r="B18" s="13" t="s">
        <v>154</v>
      </c>
      <c r="C18" s="18" t="s">
        <v>376</v>
      </c>
      <c r="D18" s="17"/>
      <c r="E18" s="15"/>
      <c r="F18" s="9" t="n">
        <v>14</v>
      </c>
      <c r="G18" s="9" t="n">
        <v>1</v>
      </c>
      <c r="H18" s="12" t="s">
        <v>377</v>
      </c>
      <c r="I18" s="17"/>
    </row>
    <row r="19" customFormat="false" ht="15" hidden="false" customHeight="false" outlineLevel="0" collapsed="false">
      <c r="A19" s="27" t="n">
        <v>15</v>
      </c>
      <c r="B19" s="28" t="s">
        <v>378</v>
      </c>
      <c r="C19" s="39" t="s">
        <v>379</v>
      </c>
      <c r="D19" s="17"/>
      <c r="E19" s="15"/>
      <c r="F19" s="27"/>
      <c r="G19" s="27"/>
      <c r="H19" s="30" t="s">
        <v>380</v>
      </c>
      <c r="I19" s="17"/>
    </row>
    <row r="20" customFormat="false" ht="15" hidden="false" customHeight="false" outlineLevel="0" collapsed="false">
      <c r="A20" s="9" t="n">
        <v>16</v>
      </c>
      <c r="B20" s="13" t="s">
        <v>378</v>
      </c>
      <c r="C20" s="18" t="s">
        <v>381</v>
      </c>
      <c r="D20" s="17"/>
      <c r="E20" s="15"/>
      <c r="F20" s="9"/>
      <c r="G20" s="9"/>
      <c r="H20" s="12" t="s">
        <v>380</v>
      </c>
      <c r="I20" s="17"/>
    </row>
    <row r="22" customFormat="false" ht="15" hidden="false" customHeight="false" outlineLevel="0" collapsed="false">
      <c r="A22" s="24" t="s">
        <v>382</v>
      </c>
    </row>
    <row r="23" customFormat="false" ht="15" hidden="false" customHeight="false" outlineLevel="0" collapsed="false">
      <c r="A23" s="25" t="s">
        <v>383</v>
      </c>
    </row>
    <row r="24" customFormat="false" ht="15" hidden="false" customHeight="false" outlineLevel="0" collapsed="false">
      <c r="A24" s="25" t="s">
        <v>384</v>
      </c>
    </row>
    <row r="25" customFormat="false" ht="15" hidden="false" customHeight="false" outlineLevel="0" collapsed="false">
      <c r="A25" s="25" t="s">
        <v>385</v>
      </c>
    </row>
    <row r="26" customFormat="false" ht="15" hidden="false" customHeight="false" outlineLevel="0" collapsed="false">
      <c r="A26" s="25" t="s">
        <v>386</v>
      </c>
    </row>
  </sheetData>
  <mergeCells count="2">
    <mergeCell ref="A1:I1"/>
    <mergeCell ref="A2:I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2026-10-21T12:11:34Z</dcterms:created>
  <dc:creator>openpyxl</dc:creator>
  <dc:description/>
  <dc:language>en-US</dc:language>
  <cp:lastModifiedBy/>
  <dcterms:modified xsi:type="dcterms:W3CDTF">2026-10-21T12:11:34Z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